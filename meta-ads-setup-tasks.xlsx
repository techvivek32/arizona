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etup Tasks" sheetId="2" state="visible" r:id="rId2"/>
    <sheet xmlns:r="http://schemas.openxmlformats.org/officeDocument/2006/relationships" name="Risks We Accepted" sheetId="3" state="visible" r:id="rId3"/>
    <sheet xmlns:r="http://schemas.openxmlformats.org/officeDocument/2006/relationships" name="Hard Rules" sheetId="4" state="visible" r:id="rId4"/>
    <sheet xmlns:r="http://schemas.openxmlformats.org/officeDocument/2006/relationships" name="Targets" sheetId="5" state="visible" r:id="rId5"/>
  </sheets>
  <definedNames>
    <definedName name="_xlnm._FilterDatabase" localSheetId="1" hidden="1">'Setup Tasks'!$A$1:$J$47</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b val="1"/>
      <color rgb="006E2038"/>
      <sz val="20"/>
    </font>
    <font>
      <color rgb="004E4448"/>
      <sz val="11"/>
    </font>
    <font>
      <b val="1"/>
      <color rgb="00FFFFFF"/>
      <sz val="12"/>
    </font>
    <font>
      <color rgb="003A3234"/>
      <sz val="10.5"/>
    </font>
    <font>
      <b val="1"/>
      <color rgb="006E6165"/>
      <sz val="10"/>
    </font>
    <font>
      <b val="1"/>
      <color rgb="001F1A1B"/>
      <sz val="11"/>
    </font>
    <font>
      <color rgb="001F1A1B"/>
      <sz val="10"/>
    </font>
    <font>
      <b val="1"/>
      <color rgb="006E2038"/>
      <sz val="12"/>
    </font>
    <font>
      <color rgb="003A3234"/>
      <sz val="10"/>
    </font>
    <font>
      <b val="1"/>
      <color rgb="006E2038"/>
      <sz val="15"/>
    </font>
    <font>
      <b val="1"/>
      <color rgb="00FFFFFF"/>
      <sz val="11"/>
    </font>
    <font>
      <b val="1"/>
      <sz val="10"/>
    </font>
    <font>
      <color rgb="004E4448"/>
      <sz val="10"/>
    </font>
    <font>
      <b val="1"/>
      <sz val="11"/>
    </font>
    <font>
      <sz val="10"/>
    </font>
    <font>
      <b val="1"/>
      <color rgb="007A5709"/>
      <sz val="10"/>
    </font>
    <font>
      <b val="1"/>
      <color rgb="008C2016"/>
      <sz val="10"/>
    </font>
    <font>
      <b val="1"/>
      <color rgb="001B5E3A"/>
      <sz val="10"/>
    </font>
    <font>
      <b val="1"/>
      <color rgb="006E2038"/>
      <sz val="11"/>
    </font>
  </fonts>
  <fills count="13">
    <fill>
      <patternFill/>
    </fill>
    <fill>
      <patternFill patternType="gray125"/>
    </fill>
    <fill>
      <patternFill patternType="solid">
        <fgColor rgb="006E2038"/>
      </patternFill>
    </fill>
    <fill>
      <patternFill patternType="solid">
        <fgColor rgb="00F4EFF0"/>
      </patternFill>
    </fill>
    <fill>
      <patternFill patternType="solid">
        <fgColor rgb="00E4EDF5"/>
      </patternFill>
    </fill>
    <fill>
      <patternFill patternType="solid">
        <fgColor rgb="00E4F0EA"/>
      </patternFill>
    </fill>
    <fill>
      <patternFill patternType="solid">
        <fgColor rgb="00FBEFD8"/>
      </patternFill>
    </fill>
    <fill>
      <patternFill patternType="solid">
        <fgColor rgb="00F1E7F1"/>
      </patternFill>
    </fill>
    <fill>
      <patternFill patternType="solid">
        <fgColor rgb="00ECEAEA"/>
      </patternFill>
    </fill>
    <fill>
      <patternFill patternType="solid">
        <fgColor rgb="00F8D0CA"/>
      </patternFill>
    </fill>
    <fill>
      <patternFill patternType="solid">
        <fgColor rgb="00FBEBC8"/>
      </patternFill>
    </fill>
    <fill>
      <patternFill patternType="solid">
        <fgColor rgb="00ECE9E9"/>
      </patternFill>
    </fill>
    <fill>
      <patternFill patternType="solid">
        <fgColor rgb="00D6EADF"/>
      </patternFill>
    </fill>
  </fills>
  <borders count="2">
    <border>
      <left/>
      <right/>
      <top/>
      <bottom/>
      <diagonal/>
    </border>
    <border>
      <left style="thin">
        <color rgb="00D8CFD1"/>
      </left>
      <right style="thin">
        <color rgb="00D8CFD1"/>
      </right>
      <top style="thin">
        <color rgb="00D8CFD1"/>
      </top>
      <bottom style="thin">
        <color rgb="00D8CFD1"/>
      </bottom>
    </border>
  </borders>
  <cellStyleXfs count="1">
    <xf numFmtId="0" fontId="0" fillId="0" borderId="0"/>
  </cellStyleXfs>
  <cellXfs count="85">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0" borderId="0" applyAlignment="1" pivotButton="0" quotePrefix="0" xfId="0">
      <alignment horizontal="left" vertical="center" wrapText="1"/>
    </xf>
    <xf numFmtId="0" fontId="5" fillId="3" borderId="0" applyAlignment="1" pivotButton="0" quotePrefix="0" xfId="0">
      <alignment horizontal="left" vertical="center"/>
    </xf>
    <xf numFmtId="0" fontId="5" fillId="3" borderId="0" applyAlignment="1" pivotButton="0" quotePrefix="0" xfId="0">
      <alignment horizontal="center" vertical="center"/>
    </xf>
    <xf numFmtId="0" fontId="6" fillId="4" borderId="0" applyAlignment="1" pivotButton="0" quotePrefix="0" xfId="0">
      <alignment horizontal="left" vertical="center"/>
    </xf>
    <xf numFmtId="0" fontId="7" fillId="4" borderId="0" applyAlignment="1" pivotButton="0" quotePrefix="0" xfId="0">
      <alignment horizontal="center" vertical="center"/>
    </xf>
    <xf numFmtId="0" fontId="8" fillId="4" borderId="0" applyAlignment="1" pivotButton="0" quotePrefix="0" xfId="0">
      <alignment horizontal="center"/>
    </xf>
    <xf numFmtId="0" fontId="2" fillId="4" borderId="0" applyAlignment="1" pivotButton="0" quotePrefix="0" xfId="0">
      <alignment horizontal="center"/>
    </xf>
    <xf numFmtId="0" fontId="9" fillId="4" borderId="0" applyAlignment="1" pivotButton="0" quotePrefix="0" xfId="0">
      <alignment horizontal="left" vertical="center" wrapText="1"/>
    </xf>
    <xf numFmtId="0" fontId="6" fillId="5" borderId="0" applyAlignment="1" pivotButton="0" quotePrefix="0" xfId="0">
      <alignment horizontal="left" vertical="center"/>
    </xf>
    <xf numFmtId="0" fontId="7" fillId="5" borderId="0" applyAlignment="1" pivotButton="0" quotePrefix="0" xfId="0">
      <alignment horizontal="center" vertical="center"/>
    </xf>
    <xf numFmtId="0" fontId="8" fillId="5" borderId="0" applyAlignment="1" pivotButton="0" quotePrefix="0" xfId="0">
      <alignment horizontal="center"/>
    </xf>
    <xf numFmtId="0" fontId="2" fillId="5" borderId="0" applyAlignment="1" pivotButton="0" quotePrefix="0" xfId="0">
      <alignment horizontal="center"/>
    </xf>
    <xf numFmtId="0" fontId="9" fillId="5" borderId="0" applyAlignment="1" pivotButton="0" quotePrefix="0" xfId="0">
      <alignment horizontal="left" vertical="center" wrapText="1"/>
    </xf>
    <xf numFmtId="0" fontId="6" fillId="6" borderId="0" applyAlignment="1" pivotButton="0" quotePrefix="0" xfId="0">
      <alignment horizontal="left" vertical="center"/>
    </xf>
    <xf numFmtId="0" fontId="7" fillId="6" borderId="0" applyAlignment="1" pivotButton="0" quotePrefix="0" xfId="0">
      <alignment horizontal="center" vertical="center"/>
    </xf>
    <xf numFmtId="0" fontId="8" fillId="6" borderId="0" applyAlignment="1" pivotButton="0" quotePrefix="0" xfId="0">
      <alignment horizontal="center"/>
    </xf>
    <xf numFmtId="0" fontId="2" fillId="6" borderId="0" applyAlignment="1" pivotButton="0" quotePrefix="0" xfId="0">
      <alignment horizontal="center"/>
    </xf>
    <xf numFmtId="0" fontId="9" fillId="6" borderId="0" applyAlignment="1" pivotButton="0" quotePrefix="0" xfId="0">
      <alignment horizontal="left" vertical="center" wrapText="1"/>
    </xf>
    <xf numFmtId="0" fontId="6" fillId="7" borderId="0" applyAlignment="1" pivotButton="0" quotePrefix="0" xfId="0">
      <alignment horizontal="left" vertical="center"/>
    </xf>
    <xf numFmtId="0" fontId="7" fillId="7" borderId="0" applyAlignment="1" pivotButton="0" quotePrefix="0" xfId="0">
      <alignment horizontal="center" vertical="center"/>
    </xf>
    <xf numFmtId="0" fontId="8" fillId="7" borderId="0" applyAlignment="1" pivotButton="0" quotePrefix="0" xfId="0">
      <alignment horizontal="center"/>
    </xf>
    <xf numFmtId="0" fontId="2" fillId="7" borderId="0" applyAlignment="1" pivotButton="0" quotePrefix="0" xfId="0">
      <alignment horizontal="center"/>
    </xf>
    <xf numFmtId="0" fontId="9" fillId="7" borderId="0" applyAlignment="1" pivotButton="0" quotePrefix="0" xfId="0">
      <alignment horizontal="left" vertical="center" wrapText="1"/>
    </xf>
    <xf numFmtId="0" fontId="6" fillId="8" borderId="0" applyAlignment="1" pivotButton="0" quotePrefix="0" xfId="0">
      <alignment horizontal="left" vertical="center"/>
    </xf>
    <xf numFmtId="0" fontId="7" fillId="8" borderId="0" applyAlignment="1" pivotButton="0" quotePrefix="0" xfId="0">
      <alignment horizontal="center" vertical="center"/>
    </xf>
    <xf numFmtId="0" fontId="8" fillId="8" borderId="0" applyAlignment="1" pivotButton="0" quotePrefix="0" xfId="0">
      <alignment horizontal="center"/>
    </xf>
    <xf numFmtId="0" fontId="2" fillId="8" borderId="0" applyAlignment="1" pivotButton="0" quotePrefix="0" xfId="0">
      <alignment horizontal="center"/>
    </xf>
    <xf numFmtId="0" fontId="9" fillId="8" borderId="0" applyAlignment="1" pivotButton="0" quotePrefix="0" xfId="0">
      <alignment horizontal="left" vertical="center" wrapText="1"/>
    </xf>
    <xf numFmtId="0" fontId="6" fillId="0" borderId="0" applyAlignment="1" pivotButton="0" quotePrefix="0" xfId="0">
      <alignment horizontal="left" vertical="center"/>
    </xf>
    <xf numFmtId="0" fontId="8" fillId="0" borderId="0" applyAlignment="1" pivotButton="0" quotePrefix="0" xfId="0">
      <alignment horizontal="center"/>
    </xf>
    <xf numFmtId="9" fontId="10" fillId="0" borderId="0" applyAlignment="1" pivotButton="0" quotePrefix="0" xfId="0">
      <alignment horizontal="center"/>
    </xf>
    <xf numFmtId="0" fontId="4" fillId="3" borderId="0" applyAlignment="1" pivotButton="0" quotePrefix="0" xfId="0">
      <alignment horizontal="left" vertical="center" wrapText="1"/>
    </xf>
    <xf numFmtId="0" fontId="11" fillId="2" borderId="1" applyAlignment="1" pivotButton="0" quotePrefix="0" xfId="0">
      <alignment horizontal="left" vertical="center" wrapText="1"/>
    </xf>
    <xf numFmtId="0" fontId="8" fillId="4" borderId="1" applyAlignment="1" pivotButton="0" quotePrefix="0" xfId="0">
      <alignment horizontal="center" vertical="top"/>
    </xf>
    <xf numFmtId="0" fontId="12" fillId="4" borderId="1" applyAlignment="1" pivotButton="0" quotePrefix="0" xfId="0">
      <alignment horizontal="center" vertical="top"/>
    </xf>
    <xf numFmtId="0" fontId="13" fillId="4" borderId="1" applyAlignment="1" pivotButton="0" quotePrefix="0" xfId="0">
      <alignment horizontal="center" vertical="top"/>
    </xf>
    <xf numFmtId="0" fontId="14" fillId="4" borderId="1" applyAlignment="1" pivotButton="0" quotePrefix="0" xfId="0">
      <alignment vertical="top" wrapText="1"/>
    </xf>
    <xf numFmtId="0" fontId="9" fillId="4" borderId="1" applyAlignment="1" pivotButton="0" quotePrefix="0" xfId="0">
      <alignment vertical="top" wrapText="1"/>
    </xf>
    <xf numFmtId="0" fontId="12" fillId="9" borderId="1" applyAlignment="1" pivotButton="0" quotePrefix="0" xfId="0">
      <alignment horizontal="center" vertical="top"/>
    </xf>
    <xf numFmtId="0" fontId="0" fillId="0" borderId="1" applyAlignment="1" pivotButton="0" quotePrefix="0" xfId="0">
      <alignment horizontal="center" vertical="top"/>
    </xf>
    <xf numFmtId="0" fontId="0" fillId="4" borderId="1" applyAlignment="1" pivotButton="0" quotePrefix="0" xfId="0">
      <alignment vertical="top" wrapText="1"/>
    </xf>
    <xf numFmtId="0" fontId="15" fillId="10" borderId="1" applyAlignment="1" pivotButton="0" quotePrefix="0" xfId="0">
      <alignment horizontal="center" vertical="top"/>
    </xf>
    <xf numFmtId="0" fontId="8" fillId="5" borderId="1" applyAlignment="1" pivotButton="0" quotePrefix="0" xfId="0">
      <alignment horizontal="center" vertical="top"/>
    </xf>
    <xf numFmtId="0" fontId="12" fillId="5" borderId="1" applyAlignment="1" pivotButton="0" quotePrefix="0" xfId="0">
      <alignment horizontal="center" vertical="top"/>
    </xf>
    <xf numFmtId="0" fontId="13" fillId="5" borderId="1" applyAlignment="1" pivotButton="0" quotePrefix="0" xfId="0">
      <alignment horizontal="center" vertical="top"/>
    </xf>
    <xf numFmtId="0" fontId="14" fillId="5" borderId="1" applyAlignment="1" pivotButton="0" quotePrefix="0" xfId="0">
      <alignment vertical="top" wrapText="1"/>
    </xf>
    <xf numFmtId="0" fontId="9" fillId="5" borderId="1" applyAlignment="1" pivotButton="0" quotePrefix="0" xfId="0">
      <alignment vertical="top" wrapText="1"/>
    </xf>
    <xf numFmtId="0" fontId="0" fillId="5" borderId="1" applyAlignment="1" pivotButton="0" quotePrefix="0" xfId="0">
      <alignment vertical="top" wrapText="1"/>
    </xf>
    <xf numFmtId="0" fontId="8" fillId="6" borderId="1" applyAlignment="1" pivotButton="0" quotePrefix="0" xfId="0">
      <alignment horizontal="center" vertical="top"/>
    </xf>
    <xf numFmtId="0" fontId="12" fillId="6" borderId="1" applyAlignment="1" pivotButton="0" quotePrefix="0" xfId="0">
      <alignment horizontal="center" vertical="top"/>
    </xf>
    <xf numFmtId="0" fontId="13" fillId="6" borderId="1" applyAlignment="1" pivotButton="0" quotePrefix="0" xfId="0">
      <alignment horizontal="center" vertical="top"/>
    </xf>
    <xf numFmtId="0" fontId="14" fillId="6" borderId="1" applyAlignment="1" pivotButton="0" quotePrefix="0" xfId="0">
      <alignment vertical="top" wrapText="1"/>
    </xf>
    <xf numFmtId="0" fontId="9" fillId="6" borderId="1" applyAlignment="1" pivotButton="0" quotePrefix="0" xfId="0">
      <alignment vertical="top" wrapText="1"/>
    </xf>
    <xf numFmtId="0" fontId="0" fillId="6" borderId="1" applyAlignment="1" pivotButton="0" quotePrefix="0" xfId="0">
      <alignment vertical="top" wrapText="1"/>
    </xf>
    <xf numFmtId="0" fontId="8" fillId="7" borderId="1" applyAlignment="1" pivotButton="0" quotePrefix="0" xfId="0">
      <alignment horizontal="center" vertical="top"/>
    </xf>
    <xf numFmtId="0" fontId="12" fillId="7" borderId="1" applyAlignment="1" pivotButton="0" quotePrefix="0" xfId="0">
      <alignment horizontal="center" vertical="top"/>
    </xf>
    <xf numFmtId="0" fontId="13" fillId="7" borderId="1" applyAlignment="1" pivotButton="0" quotePrefix="0" xfId="0">
      <alignment horizontal="center" vertical="top"/>
    </xf>
    <xf numFmtId="0" fontId="14" fillId="7" borderId="1" applyAlignment="1" pivotButton="0" quotePrefix="0" xfId="0">
      <alignment vertical="top" wrapText="1"/>
    </xf>
    <xf numFmtId="0" fontId="9" fillId="7" borderId="1" applyAlignment="1" pivotButton="0" quotePrefix="0" xfId="0">
      <alignment vertical="top" wrapText="1"/>
    </xf>
    <xf numFmtId="0" fontId="0" fillId="7" borderId="1" applyAlignment="1" pivotButton="0" quotePrefix="0" xfId="0">
      <alignment vertical="top" wrapText="1"/>
    </xf>
    <xf numFmtId="0" fontId="8" fillId="8" borderId="1" applyAlignment="1" pivotButton="0" quotePrefix="0" xfId="0">
      <alignment horizontal="center" vertical="top"/>
    </xf>
    <xf numFmtId="0" fontId="12" fillId="8" borderId="1" applyAlignment="1" pivotButton="0" quotePrefix="0" xfId="0">
      <alignment horizontal="center" vertical="top"/>
    </xf>
    <xf numFmtId="0" fontId="13" fillId="8" borderId="1" applyAlignment="1" pivotButton="0" quotePrefix="0" xfId="0">
      <alignment horizontal="center" vertical="top"/>
    </xf>
    <xf numFmtId="0" fontId="14" fillId="8" borderId="1" applyAlignment="1" pivotButton="0" quotePrefix="0" xfId="0">
      <alignment vertical="top" wrapText="1"/>
    </xf>
    <xf numFmtId="0" fontId="9" fillId="8" borderId="1" applyAlignment="1" pivotButton="0" quotePrefix="0" xfId="0">
      <alignment vertical="top" wrapText="1"/>
    </xf>
    <xf numFmtId="0" fontId="0" fillId="8" borderId="1" applyAlignment="1" pivotButton="0" quotePrefix="0" xfId="0">
      <alignment vertical="top" wrapText="1"/>
    </xf>
    <xf numFmtId="0" fontId="15" fillId="11" borderId="1" applyAlignment="1" pivotButton="0" quotePrefix="0" xfId="0">
      <alignment horizontal="center" vertical="top"/>
    </xf>
    <xf numFmtId="0" fontId="11" fillId="2" borderId="1" pivotButton="0" quotePrefix="0" xfId="0"/>
    <xf numFmtId="0" fontId="14" fillId="0" borderId="1" applyAlignment="1" pivotButton="0" quotePrefix="0" xfId="0">
      <alignment horizontal="left" vertical="top" wrapText="1"/>
    </xf>
    <xf numFmtId="0" fontId="16" fillId="10" borderId="1" applyAlignment="1" pivotButton="0" quotePrefix="0" xfId="0">
      <alignment horizontal="center" vertical="top" wrapText="1"/>
    </xf>
    <xf numFmtId="0" fontId="9" fillId="0" borderId="1" applyAlignment="1" pivotButton="0" quotePrefix="0" xfId="0">
      <alignment horizontal="left" vertical="top" wrapText="1"/>
    </xf>
    <xf numFmtId="0" fontId="17" fillId="9" borderId="1" applyAlignment="1" pivotButton="0" quotePrefix="0" xfId="0">
      <alignment horizontal="center" vertical="top" wrapText="1"/>
    </xf>
    <xf numFmtId="0" fontId="18" fillId="12" borderId="1" applyAlignment="1" pivotButton="0" quotePrefix="0" xfId="0">
      <alignment horizontal="center" vertical="top" wrapText="1"/>
    </xf>
    <xf numFmtId="0" fontId="19" fillId="3" borderId="1" applyAlignment="1" pivotButton="0" quotePrefix="0" xfId="0">
      <alignment horizontal="center" vertical="top"/>
    </xf>
    <xf numFmtId="0" fontId="14" fillId="3" borderId="1" applyAlignment="1" pivotButton="0" quotePrefix="0" xfId="0">
      <alignment vertical="top" wrapText="1"/>
    </xf>
    <xf numFmtId="0" fontId="9" fillId="3" borderId="1" applyAlignment="1" pivotButton="0" quotePrefix="0" xfId="0">
      <alignment vertical="top" wrapText="1"/>
    </xf>
    <xf numFmtId="0" fontId="19" fillId="0" borderId="1" applyAlignment="1" pivotButton="0" quotePrefix="0" xfId="0">
      <alignment horizontal="center" vertical="top"/>
    </xf>
    <xf numFmtId="0" fontId="14" fillId="0" borderId="1" applyAlignment="1" pivotButton="0" quotePrefix="0" xfId="0">
      <alignment vertical="top" wrapText="1"/>
    </xf>
    <xf numFmtId="0" fontId="9" fillId="0" borderId="1" applyAlignment="1" pivotButton="0" quotePrefix="0" xfId="0">
      <alignment vertical="top" wrapText="1"/>
    </xf>
    <xf numFmtId="0" fontId="8" fillId="3" borderId="1" applyAlignment="1" pivotButton="0" quotePrefix="0" xfId="0">
      <alignment horizontal="center" vertical="center"/>
    </xf>
    <xf numFmtId="0" fontId="8" fillId="0" borderId="1" applyAlignment="1" pivotButton="0" quotePrefix="0" xfId="0">
      <alignment horizontal="center" vertical="center"/>
    </xf>
  </cellXfs>
  <cellStyles count="1">
    <cellStyle name="Normal" xfId="0" builtinId="0" hidden="0"/>
  </cellStyles>
  <dxfs count="3">
    <dxf>
      <font>
        <b val="1"/>
        <color rgb="001B5E3A"/>
      </font>
      <fill>
        <patternFill patternType="solid">
          <fgColor rgb="00D6EADF"/>
        </patternFill>
      </fill>
    </dxf>
    <dxf>
      <font>
        <b val="1"/>
        <color rgb="008C2016"/>
      </font>
      <fill>
        <patternFill patternType="solid">
          <fgColor rgb="00F8D0CA"/>
        </patternFill>
      </fill>
    </dxf>
    <dxf>
      <font>
        <b val="1"/>
        <color rgb="007A5709"/>
      </font>
      <fill>
        <patternFill patternType="solid">
          <fgColor rgb="00FBEBC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32"/>
  <sheetViews>
    <sheetView showGridLines="0" workbookViewId="0">
      <selection activeCell="A1" sqref="A1"/>
    </sheetView>
  </sheetViews>
  <sheetFormatPr baseColWidth="8" defaultRowHeight="15"/>
  <cols>
    <col width="3" customWidth="1" min="1" max="1"/>
    <col width="30" customWidth="1" min="2" max="2"/>
    <col width="14" customWidth="1" min="3" max="3"/>
    <col width="10" customWidth="1" min="4" max="4"/>
    <col width="10" customWidth="1" min="5" max="5"/>
    <col width="72" customWidth="1" min="6" max="6"/>
  </cols>
  <sheetData>
    <row r="2" ht="34" customHeight="1">
      <c r="B2" s="1" t="inlineStr">
        <is>
          <t>Meta Ads - 2 Day Launch Plan</t>
        </is>
      </c>
    </row>
    <row r="3">
      <c r="B3" s="2" t="inlineStr">
        <is>
          <t>Arizona Women Specialists  |  46 steps  |  2 people working in parallel</t>
        </is>
      </c>
    </row>
    <row r="5" ht="24" customHeight="1">
      <c r="B5" s="3" t="inlineStr">
        <is>
          <t>READ THIS FIRST</t>
        </is>
      </c>
    </row>
    <row r="6" ht="19" customHeight="1">
      <c r="B6" s="4" t="inlineStr">
        <is>
          <t>TWO DAYS GETS THE ADS SUBMITTED, NOT LIVE. Meta ad review takes 24-48 hours. Realistic go-live is DAY 3.</t>
        </is>
      </c>
    </row>
    <row r="7" ht="19" customHeight="1">
      <c r="B7" s="4" t="inlineStr">
        <is>
          <t>This needs TWO people working at the same time: the clinic owner clicking through Meta, and the developer in the code.</t>
        </is>
      </c>
    </row>
    <row r="8" ht="19" customHeight="1">
      <c r="B8" s="4" t="inlineStr">
        <is>
          <t>Filter column C by your name and only look at your own rows. Both tracks run in parallel all day.</t>
        </is>
      </c>
    </row>
    <row r="9" ht="19" customHeight="1">
      <c r="B9" s="4" t="inlineStr">
        <is>
          <t>Three things were deliberately cut to hit the deadline. They are listed on the 'Risks We Accepted' tab - read it before you start.</t>
        </is>
      </c>
    </row>
    <row r="10" ht="19" customHeight="1">
      <c r="B10" s="4" t="inlineStr">
        <is>
          <t>Nothing on the 'Hard Rules' tab was cut. Speed changed the schedule, not the compliance rails.</t>
        </is>
      </c>
    </row>
    <row r="12" ht="24" customHeight="1">
      <c r="B12" s="3" t="inlineStr">
        <is>
          <t>THE TWO DAYS</t>
        </is>
      </c>
    </row>
    <row r="13" ht="20" customHeight="1">
      <c r="B13" s="5" t="inlineStr">
        <is>
          <t>Block</t>
        </is>
      </c>
      <c r="C13" s="6" t="inlineStr">
        <is>
          <t>Steps</t>
        </is>
      </c>
      <c r="D13" s="6" t="inlineStr">
        <is>
          <t>Done</t>
        </is>
      </c>
      <c r="E13" s="6" t="inlineStr">
        <is>
          <t>Total</t>
        </is>
      </c>
      <c r="F13" s="5" t="inlineStr">
        <is>
          <t>What happens</t>
        </is>
      </c>
    </row>
    <row r="14" ht="42" customHeight="1">
      <c r="B14" s="7" t="inlineStr">
        <is>
          <t>Day 1 AM</t>
        </is>
      </c>
      <c r="C14" s="8" t="inlineStr">
        <is>
          <t>1 - 11</t>
        </is>
      </c>
      <c r="D14" s="9">
        <f>COUNTIFS('Setup Tasks'!$B$2:$B$47,$B14,'Setup Tasks'!$I$2:$I$47,"Done")</f>
        <v/>
      </c>
      <c r="E14" s="10">
        <f>COUNTIF('Setup Tasks'!$B$2:$B$47,$B14)</f>
        <v/>
      </c>
      <c r="F14" s="11" t="inlineStr">
        <is>
          <t>Owner opens the Meta accounts and creates the pixel FIRST - the developer is blocked until they have the ID. DNS record goes in early so it has all day to propagate.</t>
        </is>
      </c>
    </row>
    <row r="15" ht="42" customHeight="1">
      <c r="B15" s="12" t="inlineStr">
        <is>
          <t>Day 1 PM</t>
        </is>
      </c>
      <c r="C15" s="13" t="inlineStr">
        <is>
          <t>12 - 20</t>
        </is>
      </c>
      <c r="D15" s="14">
        <f>COUNTIFS('Setup Tasks'!$B$2:$B$47,$B15,'Setup Tasks'!$I$2:$I$47,"Done")</f>
        <v/>
      </c>
      <c r="E15" s="15">
        <f>COUNTIF('Setup Tasks'!$B$2:$B$47,$B15)</f>
        <v/>
      </c>
      <c r="F15" s="16" t="inlineStr">
        <is>
          <t>Owner does the Page, partner access, ad copy and creative. Developer publishes the privacy page, builds the consent gate and makes /login actually show a form.</t>
        </is>
      </c>
    </row>
    <row r="16" ht="42" customHeight="1">
      <c r="B16" s="17" t="inlineStr">
        <is>
          <t>Day 2 AM</t>
        </is>
      </c>
      <c r="C16" s="18" t="inlineStr">
        <is>
          <t>21 - 26</t>
        </is>
      </c>
      <c r="D16" s="19">
        <f>COUNTIFS('Setup Tasks'!$B$2:$B$47,$B16,'Setup Tasks'!$I$2:$I$47,"Done")</f>
        <v/>
      </c>
      <c r="E16" s="20">
        <f>COUNTIF('Setup Tasks'!$B$2:$B$47,$B16)</f>
        <v/>
      </c>
      <c r="F16" s="21" t="inlineStr">
        <is>
          <t>All the tracking code: env vars, pixel component, booking event, CAPI with a shared event_id, then the payload audit.</t>
        </is>
      </c>
    </row>
    <row r="17" ht="42" customHeight="1">
      <c r="B17" s="22" t="inlineStr">
        <is>
          <t>Day 2 PM</t>
        </is>
      </c>
      <c r="C17" s="23" t="inlineStr">
        <is>
          <t>27 - 35</t>
        </is>
      </c>
      <c r="D17" s="24">
        <f>COUNTIFS('Setup Tasks'!$B$2:$B$47,$B17,'Setup Tasks'!$I$2:$I$47,"Done")</f>
        <v/>
      </c>
      <c r="E17" s="25">
        <f>COUNTIF('Setup Tasks'!$B$2:$B$47,$B17)</f>
        <v/>
      </c>
      <c r="F17" s="26" t="inlineStr">
        <is>
          <t>Test on the live site, verify the domain, rank the AEM events once, build ONE ad set, and submit for review. Day 2 ends here.</t>
        </is>
      </c>
    </row>
    <row r="18" ht="42" customHeight="1">
      <c r="B18" s="27" t="inlineStr">
        <is>
          <t>After launch</t>
        </is>
      </c>
      <c r="C18" s="28" t="inlineStr">
        <is>
          <t>36 - 46</t>
        </is>
      </c>
      <c r="D18" s="29">
        <f>COUNTIFS('Setup Tasks'!$B$2:$B$47,$B18,'Setup Tasks'!$I$2:$I$47,"Done")</f>
        <v/>
      </c>
      <c r="E18" s="30">
        <f>COUNTIF('Setup Tasks'!$B$2:$B$47,$B18)</f>
        <v/>
      </c>
      <c r="F18" s="31" t="inlineStr">
        <is>
          <t>Everything cut for time - the real guest-booking fix, the legal review, business verification, Instagram. Do these in week one.</t>
        </is>
      </c>
    </row>
    <row r="20" ht="24" customHeight="1">
      <c r="B20" s="3" t="inlineStr">
        <is>
          <t>PROGRESS</t>
        </is>
      </c>
    </row>
    <row r="21" ht="21" customHeight="1">
      <c r="B21" s="32" t="inlineStr">
        <is>
          <t>Total steps</t>
        </is>
      </c>
      <c r="C21" s="33">
        <f>COUNTA('Setup Tasks'!$A$2:$A$47)</f>
        <v/>
      </c>
    </row>
    <row r="22" ht="21" customHeight="1">
      <c r="B22" s="32" t="inlineStr">
        <is>
          <t>Done</t>
        </is>
      </c>
      <c r="C22" s="33">
        <f>COUNTIF('Setup Tasks'!$I$2:$I$47,"Done")</f>
        <v/>
      </c>
    </row>
    <row r="23" ht="21" customHeight="1">
      <c r="B23" s="32" t="inlineStr">
        <is>
          <t>In progress</t>
        </is>
      </c>
      <c r="C23" s="33">
        <f>COUNTIF('Setup Tasks'!$I$2:$I$47,"In progress")</f>
        <v/>
      </c>
    </row>
    <row r="24" ht="21" customHeight="1">
      <c r="B24" s="32" t="inlineStr">
        <is>
          <t>Blocked</t>
        </is>
      </c>
      <c r="C24" s="33">
        <f>COUNTIF('Setup Tasks'!$I$2:$I$47,"Blocked")</f>
        <v/>
      </c>
    </row>
    <row r="25" ht="21" customHeight="1">
      <c r="B25" s="32" t="inlineStr">
        <is>
          <t>Not started</t>
        </is>
      </c>
      <c r="C25" s="33">
        <f>COUNTIF('Setup Tasks'!$I$2:$I$47,"Not started")</f>
        <v/>
      </c>
    </row>
    <row r="26" ht="26" customHeight="1">
      <c r="B26" s="32" t="inlineStr">
        <is>
          <t>Percent complete</t>
        </is>
      </c>
      <c r="C26" s="34">
        <f>IF(C21=0,0,C22/C21)</f>
        <v/>
      </c>
    </row>
    <row r="28" ht="24" customHeight="1">
      <c r="B28" s="3" t="inlineStr">
        <is>
          <t>THE 4 THINGS MOST LIKELY TO BREAK THE TIMELINE</t>
        </is>
      </c>
    </row>
    <row r="29" ht="21" customHeight="1">
      <c r="B29" s="35" t="inlineStr">
        <is>
          <t>1. A Page, Instagram handle or domain is already claimed by an old vendor. Check FIRST (step 1) - a dispute takes weeks.</t>
        </is>
      </c>
    </row>
    <row r="30" ht="21" customHeight="1">
      <c r="B30" s="35" t="inlineStr">
        <is>
          <t>2. DNS has not propagated by day 2 afternoon, so AEM cannot be configured. Add the TXT record first thing on day 1 (step 7).</t>
        </is>
      </c>
    </row>
    <row r="31" ht="21" customHeight="1">
      <c r="B31" s="35" t="inlineStr">
        <is>
          <t>3. The CAPI token is only shown once. Lose it at step 6 and you regenerate and redo the env vars.</t>
        </is>
      </c>
    </row>
    <row r="32" ht="21" customHeight="1">
      <c r="B32" s="35" t="inlineStr">
        <is>
          <t>4. Ad review. Submit as early on day 2 afternoon as possible (step 35) - the queue is the one thing you cannot speed up.</t>
        </is>
      </c>
    </row>
  </sheetData>
  <mergeCells count="15">
    <mergeCell ref="B30:F30"/>
    <mergeCell ref="B12:F12"/>
    <mergeCell ref="B7:F7"/>
    <mergeCell ref="B29:F29"/>
    <mergeCell ref="B6:F6"/>
    <mergeCell ref="B2:F2"/>
    <mergeCell ref="B20:F20"/>
    <mergeCell ref="B10:F10"/>
    <mergeCell ref="B28:F28"/>
    <mergeCell ref="B3:F3"/>
    <mergeCell ref="B5:F5"/>
    <mergeCell ref="B31:F31"/>
    <mergeCell ref="B8:F8"/>
    <mergeCell ref="B32:F32"/>
    <mergeCell ref="B9: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7"/>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14" customWidth="1" min="3" max="3"/>
    <col width="40" customWidth="1" min="4" max="4"/>
    <col width="94" customWidth="1" min="5" max="5"/>
    <col width="11" customWidth="1" min="6" max="6"/>
    <col width="14" customWidth="1" min="7" max="7"/>
    <col width="12" customWidth="1" min="8" max="8"/>
    <col width="13" customWidth="1" min="9" max="9"/>
    <col width="22" customWidth="1" min="10" max="10"/>
  </cols>
  <sheetData>
    <row r="1" ht="30" customHeight="1">
      <c r="A1" s="36" t="inlineStr">
        <is>
          <t>Step</t>
        </is>
      </c>
      <c r="B1" s="36" t="inlineStr">
        <is>
          <t>When</t>
        </is>
      </c>
      <c r="C1" s="36" t="inlineStr">
        <is>
          <t>Who</t>
        </is>
      </c>
      <c r="D1" s="36" t="inlineStr">
        <is>
          <t>Task</t>
        </is>
      </c>
      <c r="E1" s="36" t="inlineStr">
        <is>
          <t>Exactly what to do</t>
        </is>
      </c>
      <c r="F1" s="36" t="inlineStr">
        <is>
          <t>Needs step</t>
        </is>
      </c>
      <c r="G1" s="36" t="inlineStr">
        <is>
          <t>Time</t>
        </is>
      </c>
      <c r="H1" s="36" t="inlineStr">
        <is>
          <t>Priority</t>
        </is>
      </c>
      <c r="I1" s="36" t="inlineStr">
        <is>
          <t>Status</t>
        </is>
      </c>
      <c r="J1" s="36" t="inlineStr">
        <is>
          <t>Notes</t>
        </is>
      </c>
    </row>
    <row r="2" ht="64" customHeight="1">
      <c r="A2" s="37" t="n">
        <v>1</v>
      </c>
      <c r="B2" s="38" t="inlineStr">
        <is>
          <t>Day 1 AM</t>
        </is>
      </c>
      <c r="C2" s="39" t="inlineStr">
        <is>
          <t>Clinic owner</t>
        </is>
      </c>
      <c r="D2" s="40" t="inlineStr">
        <is>
          <t>Check what already exists (30 min)</t>
        </is>
      </c>
      <c r="E2" s="41" t="inlineStr">
        <is>
          <t>Search Facebook and Instagram for the clinic name. If an old Page, a Meta auto-generated 'place' page, or a claimed handle exists, CLAIM it - do not create a duplicate. If you find a dispute, stop and tell everyone immediately: that alone can blow the 2-day plan.</t>
        </is>
      </c>
      <c r="F2" s="39" t="inlineStr">
        <is>
          <t>-</t>
        </is>
      </c>
      <c r="G2" s="39" t="inlineStr">
        <is>
          <t>30 min</t>
        </is>
      </c>
      <c r="H2" s="42" t="inlineStr">
        <is>
          <t>BLOCKER</t>
        </is>
      </c>
      <c r="I2" s="43" t="inlineStr">
        <is>
          <t>Not started</t>
        </is>
      </c>
      <c r="J2" s="44" t="inlineStr"/>
    </row>
    <row r="3" ht="64" customHeight="1">
      <c r="A3" s="37" t="n">
        <v>2</v>
      </c>
      <c r="B3" s="38" t="inlineStr">
        <is>
          <t>Day 1 AM</t>
        </is>
      </c>
      <c r="C3" s="39" t="inlineStr">
        <is>
          <t>Clinic owner</t>
        </is>
      </c>
      <c r="D3" s="40" t="inlineStr">
        <is>
          <t>Create the Business Portfolio</t>
        </is>
      </c>
      <c r="E3" s="41" t="inlineStr">
        <is>
          <t>business.facebook.com &gt; Create account. Clinic's legal name, clinic's email. Must be owned by the CLINIC, not the agency. Needs the owner logged into their personal Facebook profile.</t>
        </is>
      </c>
      <c r="F3" s="39" t="inlineStr">
        <is>
          <t>1</t>
        </is>
      </c>
      <c r="G3" s="39" t="inlineStr">
        <is>
          <t>20 min</t>
        </is>
      </c>
      <c r="H3" s="42" t="inlineStr">
        <is>
          <t>BLOCKER</t>
        </is>
      </c>
      <c r="I3" s="43" t="inlineStr">
        <is>
          <t>Not started</t>
        </is>
      </c>
      <c r="J3" s="44" t="inlineStr"/>
    </row>
    <row r="4" ht="64" customHeight="1">
      <c r="A4" s="37" t="n">
        <v>3</v>
      </c>
      <c r="B4" s="38" t="inlineStr">
        <is>
          <t>Day 1 AM</t>
        </is>
      </c>
      <c r="C4" s="39" t="inlineStr">
        <is>
          <t>Clinic owner</t>
        </is>
      </c>
      <c r="D4" s="40" t="inlineStr">
        <is>
          <t>Create the ad account - USD + America/Phoenix</t>
        </is>
      </c>
      <c r="E4" s="41" t="inlineStr">
        <is>
          <t>Business Settings &gt; Accounts &gt; Ad Accounts &gt; Add. Currency = USD. Time zone = America/Phoenix. BOTH LOCK FOREVER the moment you click create - the only fix is a whole new account. Arizona has no daylight saving, so do NOT pick a generic MST or PDT option. Slow down for this one.</t>
        </is>
      </c>
      <c r="F4" s="39" t="inlineStr">
        <is>
          <t>2</t>
        </is>
      </c>
      <c r="G4" s="39" t="inlineStr">
        <is>
          <t>15 min</t>
        </is>
      </c>
      <c r="H4" s="42" t="inlineStr">
        <is>
          <t>BLOCKER</t>
        </is>
      </c>
      <c r="I4" s="43" t="inlineStr">
        <is>
          <t>Not started</t>
        </is>
      </c>
      <c r="J4" s="44" t="inlineStr"/>
    </row>
    <row r="5" ht="64" customHeight="1">
      <c r="A5" s="37" t="n">
        <v>4</v>
      </c>
      <c r="B5" s="38" t="inlineStr">
        <is>
          <t>Day 1 AM</t>
        </is>
      </c>
      <c r="C5" s="39" t="inlineStr">
        <is>
          <t>Clinic owner</t>
        </is>
      </c>
      <c r="D5" s="40" t="inlineStr">
        <is>
          <t>Create the pixel and send the ID to the developer</t>
        </is>
      </c>
      <c r="E5" s="41" t="inlineStr">
        <is>
          <t>DO THIS EARLY - the developer is blocked until they have it. Events Manager &gt; Connect data sources &gt; Web &gt; Meta Pixel. Name it 'Arizona Women Specialists - Web'. Copy the numeric dataset ID and send it straight over.</t>
        </is>
      </c>
      <c r="F5" s="39" t="inlineStr">
        <is>
          <t>2</t>
        </is>
      </c>
      <c r="G5" s="39" t="inlineStr">
        <is>
          <t>15 min</t>
        </is>
      </c>
      <c r="H5" s="42" t="inlineStr">
        <is>
          <t>BLOCKER</t>
        </is>
      </c>
      <c r="I5" s="43" t="inlineStr">
        <is>
          <t>Not started</t>
        </is>
      </c>
      <c r="J5" s="44" t="inlineStr"/>
    </row>
    <row r="6" ht="64" customHeight="1">
      <c r="A6" s="37" t="n">
        <v>5</v>
      </c>
      <c r="B6" s="38" t="inlineStr">
        <is>
          <t>Day 1 AM</t>
        </is>
      </c>
      <c r="C6" s="39" t="inlineStr">
        <is>
          <t>Clinic owner</t>
        </is>
      </c>
      <c r="D6" s="40" t="inlineStr">
        <is>
          <t>Turn OFF automatic advanced matching</t>
        </is>
      </c>
      <c r="E6" s="41" t="inlineStr">
        <is>
          <t>Events Manager &gt; Dataset &gt; Settings &gt; Automatic advanced matching = OFF. Do it the moment the pixel exists. Left on it scrapes form fields and WILL harvest date of birth and sex from the booking form. This is the single most dangerous default in the whole setup.</t>
        </is>
      </c>
      <c r="F6" s="39" t="inlineStr">
        <is>
          <t>4</t>
        </is>
      </c>
      <c r="G6" s="39" t="inlineStr">
        <is>
          <t>5 min</t>
        </is>
      </c>
      <c r="H6" s="42" t="inlineStr">
        <is>
          <t>BLOCKER</t>
        </is>
      </c>
      <c r="I6" s="43" t="inlineStr">
        <is>
          <t>Not started</t>
        </is>
      </c>
      <c r="J6" s="44" t="inlineStr"/>
    </row>
    <row r="7" ht="64" customHeight="1">
      <c r="A7" s="37" t="n">
        <v>6</v>
      </c>
      <c r="B7" s="38" t="inlineStr">
        <is>
          <t>Day 1 AM</t>
        </is>
      </c>
      <c r="C7" s="39" t="inlineStr">
        <is>
          <t>Clinic owner</t>
        </is>
      </c>
      <c r="D7" s="40" t="inlineStr">
        <is>
          <t>Create the System User and CAPI token</t>
        </is>
      </c>
      <c r="E7" s="41" t="inlineStr">
        <is>
          <t>Business Settings &gt; Users &gt; System users &gt; Add &gt; assign the dataset with Manage access &gt; Generate token with ads_management + business_management. The token shows ONCE - copy it immediately. Send it securely, never by email or chat.</t>
        </is>
      </c>
      <c r="F7" s="39" t="inlineStr">
        <is>
          <t>4</t>
        </is>
      </c>
      <c r="G7" s="39" t="inlineStr">
        <is>
          <t>20 min</t>
        </is>
      </c>
      <c r="H7" s="42" t="inlineStr">
        <is>
          <t>BLOCKER</t>
        </is>
      </c>
      <c r="I7" s="43" t="inlineStr">
        <is>
          <t>Not started</t>
        </is>
      </c>
      <c r="J7" s="44" t="inlineStr"/>
    </row>
    <row r="8" ht="64" customHeight="1">
      <c r="A8" s="37" t="n">
        <v>7</v>
      </c>
      <c r="B8" s="38" t="inlineStr">
        <is>
          <t>Day 1 AM</t>
        </is>
      </c>
      <c r="C8" s="39" t="inlineStr">
        <is>
          <t>Owner + host</t>
        </is>
      </c>
      <c r="D8" s="40" t="inlineStr">
        <is>
          <t>Add the DNS TXT record - start the clock early</t>
        </is>
      </c>
      <c r="E8" s="41" t="inlineStr">
        <is>
          <t>Business Settings &gt; Brand safety &gt; Domains &gt; Add arizonawomenspecialists.com &gt; DNS TXT verification. Paste the record at the registrar NOW, because propagation can take hours. Click Verify later once it resolves. Verifying the plain domain also covers www - do not verify www separately.</t>
        </is>
      </c>
      <c r="F8" s="39" t="inlineStr">
        <is>
          <t>2</t>
        </is>
      </c>
      <c r="G8" s="39" t="inlineStr">
        <is>
          <t>30 min + wait</t>
        </is>
      </c>
      <c r="H8" s="42" t="inlineStr">
        <is>
          <t>BLOCKER</t>
        </is>
      </c>
      <c r="I8" s="43" t="inlineStr">
        <is>
          <t>Not started</t>
        </is>
      </c>
      <c r="J8" s="44" t="inlineStr"/>
    </row>
    <row r="9" ht="64" customHeight="1">
      <c r="A9" s="37" t="n">
        <v>8</v>
      </c>
      <c r="B9" s="38" t="inlineStr">
        <is>
          <t>Day 1 AM</t>
        </is>
      </c>
      <c r="C9" s="39" t="inlineStr">
        <is>
          <t>Clinic owner</t>
        </is>
      </c>
      <c r="D9" s="40" t="inlineStr">
        <is>
          <t>Add a payment card plus a backup</t>
        </is>
      </c>
      <c r="E9" s="41" t="inlineStr">
        <is>
          <t>Billing &gt; Payment settings. Credit or debit card - US accounts do not get bank transfer at signup. Add a second card as backup. Then phone the bank: new accounts bill at rising thresholds (~$25, $50, $250, $500) and the odd small charges often trigger a fraud hold that stops delivery.</t>
        </is>
      </c>
      <c r="F9" s="39" t="inlineStr">
        <is>
          <t>3</t>
        </is>
      </c>
      <c r="G9" s="39" t="inlineStr">
        <is>
          <t>20 min</t>
        </is>
      </c>
      <c r="H9" s="42" t="inlineStr">
        <is>
          <t>BLOCKER</t>
        </is>
      </c>
      <c r="I9" s="43" t="inlineStr">
        <is>
          <t>Not started</t>
        </is>
      </c>
      <c r="J9" s="44" t="inlineStr"/>
    </row>
    <row r="10" ht="64" customHeight="1">
      <c r="A10" s="37" t="n">
        <v>9</v>
      </c>
      <c r="B10" s="38" t="inlineStr">
        <is>
          <t>Day 1 AM</t>
        </is>
      </c>
      <c r="C10" s="39" t="inlineStr">
        <is>
          <t>Clinic owner</t>
        </is>
      </c>
      <c r="D10" s="40" t="inlineStr">
        <is>
          <t>Set the spending limit and turn on 2FA</t>
        </is>
      </c>
      <c r="E10" s="41" t="inlineStr">
        <is>
          <t>Billing &gt; Account spending limit - set it clearly ABOVE the planned test spend, because hitting it stops ALL delivery dead, not just a warning. Then Security Center &gt; Require two-factor authentication for everyone.</t>
        </is>
      </c>
      <c r="F10" s="39" t="inlineStr">
        <is>
          <t>8</t>
        </is>
      </c>
      <c r="G10" s="39" t="inlineStr">
        <is>
          <t>15 min</t>
        </is>
      </c>
      <c r="H10" s="45" t="inlineStr">
        <is>
          <t>Do it</t>
        </is>
      </c>
      <c r="I10" s="43" t="inlineStr">
        <is>
          <t>Not started</t>
        </is>
      </c>
      <c r="J10" s="44" t="inlineStr"/>
    </row>
    <row r="11" ht="64" customHeight="1">
      <c r="A11" s="37" t="n">
        <v>10</v>
      </c>
      <c r="B11" s="38" t="inlineStr">
        <is>
          <t>Day 1 AM</t>
        </is>
      </c>
      <c r="C11" s="39" t="inlineStr">
        <is>
          <t>Developer</t>
        </is>
      </c>
      <c r="D11" s="40" t="inlineStr">
        <is>
          <t>Write the /privacy page - start now, it gates everything</t>
        </is>
      </c>
      <c r="E11" s="41" t="inlineStr">
        <is>
          <t>The pixel cannot legally go live without this. Must name Meta specifically, disclose the _fbp and _fbc cookies, say what IS and IS NOT sent to Meta, and give an opt-out. Write it today and publish; send it to counsel for review in parallel and amend after. See the 'Risks We Accepted' tab.</t>
        </is>
      </c>
      <c r="F11" s="39" t="inlineStr">
        <is>
          <t>-</t>
        </is>
      </c>
      <c r="G11" s="39" t="inlineStr">
        <is>
          <t>3 hours</t>
        </is>
      </c>
      <c r="H11" s="42" t="inlineStr">
        <is>
          <t>BLOCKER</t>
        </is>
      </c>
      <c r="I11" s="43" t="inlineStr">
        <is>
          <t>Not started</t>
        </is>
      </c>
      <c r="J11" s="44" t="inlineStr"/>
    </row>
    <row r="12" ht="64" customHeight="1">
      <c r="A12" s="37" t="n">
        <v>11</v>
      </c>
      <c r="B12" s="38" t="inlineStr">
        <is>
          <t>Day 1 AM</t>
        </is>
      </c>
      <c r="C12" s="39" t="inlineStr">
        <is>
          <t>Developer</t>
        </is>
      </c>
      <c r="D12" s="40" t="inlineStr">
        <is>
          <t>Stop the /book redirect eating the click ID</t>
        </is>
      </c>
      <c r="E12" s="41" t="inlineStr">
        <is>
          <t>src/app/book/page.tsx line 22 redirects to a hardcoded /login?next=%2Fbook and throws the whole query string away - killing fbclid (so _fbc never gets set) and every UTM. Carry the search params through the redirect. Quickest real fix in the whole plan.</t>
        </is>
      </c>
      <c r="F12" s="39" t="inlineStr">
        <is>
          <t>-</t>
        </is>
      </c>
      <c r="G12" s="39" t="inlineStr">
        <is>
          <t>1 hour</t>
        </is>
      </c>
      <c r="H12" s="42" t="inlineStr">
        <is>
          <t>BLOCKER</t>
        </is>
      </c>
      <c r="I12" s="43" t="inlineStr">
        <is>
          <t>Not started</t>
        </is>
      </c>
      <c r="J12" s="44" t="inlineStr"/>
    </row>
    <row r="13" ht="64" customHeight="1">
      <c r="A13" s="46" t="n">
        <v>12</v>
      </c>
      <c r="B13" s="47" t="inlineStr">
        <is>
          <t>Day 1 PM</t>
        </is>
      </c>
      <c r="C13" s="48" t="inlineStr">
        <is>
          <t>Clinic owner</t>
        </is>
      </c>
      <c r="D13" s="49" t="inlineStr">
        <is>
          <t>Create or claim the Facebook Page</t>
        </is>
      </c>
      <c r="E13" s="50" t="inlineStr">
        <is>
          <t>The Page must be owned by the Business Portfolio, with the owner holding 'Facebook access with full control'. Every Facebook and Instagram ad runs from a Page - no Page, no ads.</t>
        </is>
      </c>
      <c r="F13" s="48" t="inlineStr">
        <is>
          <t>1, 2</t>
        </is>
      </c>
      <c r="G13" s="48" t="inlineStr">
        <is>
          <t>30 min</t>
        </is>
      </c>
      <c r="H13" s="42" t="inlineStr">
        <is>
          <t>BLOCKER</t>
        </is>
      </c>
      <c r="I13" s="43" t="inlineStr">
        <is>
          <t>Not started</t>
        </is>
      </c>
      <c r="J13" s="51" t="inlineStr"/>
    </row>
    <row r="14" ht="64" customHeight="1">
      <c r="A14" s="46" t="n">
        <v>13</v>
      </c>
      <c r="B14" s="47" t="inlineStr">
        <is>
          <t>Day 1 PM</t>
        </is>
      </c>
      <c r="C14" s="48" t="inlineStr">
        <is>
          <t>Clinic owner</t>
        </is>
      </c>
      <c r="D14" s="49" t="inlineStr">
        <is>
          <t>Fill in the Page essentials only</t>
        </is>
      </c>
      <c r="E14" s="50" t="inlineStr">
        <is>
          <t>Cut version for speed: name, BOTH addresses (Phoenix 4700 N 51st Ave, Glendale 6370 W Union Hills Dr), phone (623) 846-7597, hours, category, website link. Skip the long services list for now - add it after launch.</t>
        </is>
      </c>
      <c r="F14" s="48" t="inlineStr">
        <is>
          <t>12</t>
        </is>
      </c>
      <c r="G14" s="48" t="inlineStr">
        <is>
          <t>45 min</t>
        </is>
      </c>
      <c r="H14" s="45" t="inlineStr">
        <is>
          <t>Do it</t>
        </is>
      </c>
      <c r="I14" s="43" t="inlineStr">
        <is>
          <t>Not started</t>
        </is>
      </c>
      <c r="J14" s="51" t="inlineStr"/>
    </row>
    <row r="15" ht="64" customHeight="1">
      <c r="A15" s="46" t="n">
        <v>14</v>
      </c>
      <c r="B15" s="47" t="inlineStr">
        <is>
          <t>Day 1 PM</t>
        </is>
      </c>
      <c r="C15" s="48" t="inlineStr">
        <is>
          <t>Clinic owner</t>
        </is>
      </c>
      <c r="D15" s="49" t="inlineStr">
        <is>
          <t>Add the developer as a Partner and share the assets</t>
        </is>
      </c>
      <c r="E15" s="50" t="inlineStr">
        <is>
          <t>Get the developer's own Business ID first. Business Settings &gt; Partners &gt; Add partner &gt; paste the ID. Then share each asset separately - partner access is EMPTY until you do: Ad account (Manage campaigns), Page (Create ads), Dataset, Domain. NEVER hand over a password or 2FA code instead.</t>
        </is>
      </c>
      <c r="F15" s="48" t="inlineStr">
        <is>
          <t>2, 4, 12</t>
        </is>
      </c>
      <c r="G15" s="48" t="inlineStr">
        <is>
          <t>30 min</t>
        </is>
      </c>
      <c r="H15" s="42" t="inlineStr">
        <is>
          <t>BLOCKER</t>
        </is>
      </c>
      <c r="I15" s="43" t="inlineStr">
        <is>
          <t>Not started</t>
        </is>
      </c>
      <c r="J15" s="51" t="inlineStr"/>
    </row>
    <row r="16" ht="64" customHeight="1">
      <c r="A16" s="46" t="n">
        <v>15</v>
      </c>
      <c r="B16" s="47" t="inlineStr">
        <is>
          <t>Day 1 PM</t>
        </is>
      </c>
      <c r="C16" s="48" t="inlineStr">
        <is>
          <t>Clinic owner</t>
        </is>
      </c>
      <c r="D16" s="49" t="inlineStr">
        <is>
          <t>Write the ad copy</t>
        </is>
      </c>
      <c r="E16" s="50" t="inlineStr">
        <is>
          <t>NEVER address the viewer's health in second person. BANNED: 'Are you pregnant?', 'Think you might be pregnant?', 'Missed your period?', 'Worried you have an STD?'. ALLOWED: 'Pregnancy testing in Phoenix - same-week appointments', 'Confidential STD testing and treatment', 'Birth control consultations - book online'. This is a rule about the WORDS - changing the audience does not fix it.</t>
        </is>
      </c>
      <c r="F16" s="48" t="inlineStr">
        <is>
          <t>-</t>
        </is>
      </c>
      <c r="G16" s="48" t="inlineStr">
        <is>
          <t>2 hours</t>
        </is>
      </c>
      <c r="H16" s="42" t="inlineStr">
        <is>
          <t>BLOCKER</t>
        </is>
      </c>
      <c r="I16" s="43" t="inlineStr">
        <is>
          <t>Not started</t>
        </is>
      </c>
      <c r="J16" s="51" t="inlineStr"/>
    </row>
    <row r="17" ht="64" customHeight="1">
      <c r="A17" s="46" t="n">
        <v>16</v>
      </c>
      <c r="B17" s="47" t="inlineStr">
        <is>
          <t>Day 1 PM</t>
        </is>
      </c>
      <c r="C17" s="48" t="inlineStr">
        <is>
          <t>Clinic owner</t>
        </is>
      </c>
      <c r="D17" s="49" t="inlineStr">
        <is>
          <t>Pull together creative - no patient photos</t>
        </is>
      </c>
      <c r="E17" s="50" t="inlineStr">
        <is>
          <t>Staff, building and licensed stock images only. Patient photos, testimonials or reviews need written HIPAA marketing authorization (45 CFR 164.508(a)(3)) which you will not get in two days. Two or three images plus one simple video is enough to launch.</t>
        </is>
      </c>
      <c r="F17" s="48" t="inlineStr">
        <is>
          <t>-</t>
        </is>
      </c>
      <c r="G17" s="48" t="inlineStr">
        <is>
          <t>2 hours</t>
        </is>
      </c>
      <c r="H17" s="42" t="inlineStr">
        <is>
          <t>BLOCKER</t>
        </is>
      </c>
      <c r="I17" s="43" t="inlineStr">
        <is>
          <t>Not started</t>
        </is>
      </c>
      <c r="J17" s="51" t="inlineStr"/>
    </row>
    <row r="18" ht="64" customHeight="1">
      <c r="A18" s="46" t="n">
        <v>17</v>
      </c>
      <c r="B18" s="47" t="inlineStr">
        <is>
          <t>Day 1 PM</t>
        </is>
      </c>
      <c r="C18" s="48" t="inlineStr">
        <is>
          <t>Developer</t>
        </is>
      </c>
      <c r="D18" s="49" t="inlineStr">
        <is>
          <t>Publish /privacy and repoint the footer link</t>
        </is>
      </c>
      <c r="E18" s="50" t="inlineStr">
        <is>
          <t>Put the policy live at /privacy. Then fix src/components/site/SiteFooter.tsx around line 94 - it currently labels a link 'Privacy Policy' and points it at /contact, which has no privacy content. That mislabel is the exact FTC theory used against GoodRx ($1.5M) and BetterHelp ($7.8M).</t>
        </is>
      </c>
      <c r="F18" s="48" t="inlineStr">
        <is>
          <t>10</t>
        </is>
      </c>
      <c r="G18" s="48" t="inlineStr">
        <is>
          <t>1 hour</t>
        </is>
      </c>
      <c r="H18" s="42" t="inlineStr">
        <is>
          <t>BLOCKER</t>
        </is>
      </c>
      <c r="I18" s="43" t="inlineStr">
        <is>
          <t>Not started</t>
        </is>
      </c>
      <c r="J18" s="51" t="inlineStr"/>
    </row>
    <row r="19" ht="64" customHeight="1">
      <c r="A19" s="46" t="n">
        <v>18</v>
      </c>
      <c r="B19" s="47" t="inlineStr">
        <is>
          <t>Day 1 PM</t>
        </is>
      </c>
      <c r="C19" s="48" t="inlineStr">
        <is>
          <t>Developer</t>
        </is>
      </c>
      <c r="D19" s="49" t="inlineStr">
        <is>
          <t>Build a simple consent gate</t>
        </is>
      </c>
      <c r="E19" s="50" t="inlineStr">
        <is>
          <t>Blocking version is fine for launch: no tracking script loads until the visitor accepts. Do not gold-plate it today - it just has to actually block.</t>
        </is>
      </c>
      <c r="F19" s="48" t="inlineStr">
        <is>
          <t>17</t>
        </is>
      </c>
      <c r="G19" s="48" t="inlineStr">
        <is>
          <t>3 hours</t>
        </is>
      </c>
      <c r="H19" s="42" t="inlineStr">
        <is>
          <t>BLOCKER</t>
        </is>
      </c>
      <c r="I19" s="43" t="inlineStr">
        <is>
          <t>Not started</t>
        </is>
      </c>
      <c r="J19" s="51" t="inlineStr"/>
    </row>
    <row r="20" ht="64" customHeight="1">
      <c r="A20" s="46" t="n">
        <v>19</v>
      </c>
      <c r="B20" s="47" t="inlineStr">
        <is>
          <t>Day 1 PM</t>
        </is>
      </c>
      <c r="C20" s="48" t="inlineStr">
        <is>
          <t>Developer</t>
        </is>
      </c>
      <c r="D20" s="49" t="inlineStr">
        <is>
          <t>Make the login page actually show a form</t>
        </is>
      </c>
      <c r="E20" s="50" t="inlineStr">
        <is>
          <t>Cheap version of the real fix. Today /login server-renders ZERO inputs, forms or buttons - just a headline about managing existing visits - so a cold ad visitor sees nothing until JS hydrates. Server-render the register form and change the headline to 'Create an account to book'. The full guest-booking rework is deferred (see After launch).</t>
        </is>
      </c>
      <c r="F20" s="48" t="inlineStr">
        <is>
          <t>-</t>
        </is>
      </c>
      <c r="G20" s="48" t="inlineStr">
        <is>
          <t>3 hours</t>
        </is>
      </c>
      <c r="H20" s="42" t="inlineStr">
        <is>
          <t>BLOCKER</t>
        </is>
      </c>
      <c r="I20" s="43" t="inlineStr">
        <is>
          <t>Not started</t>
        </is>
      </c>
      <c r="J20" s="51" t="inlineStr"/>
    </row>
    <row r="21" ht="64" customHeight="1">
      <c r="A21" s="46" t="n">
        <v>20</v>
      </c>
      <c r="B21" s="47" t="inlineStr">
        <is>
          <t>Day 1 PM</t>
        </is>
      </c>
      <c r="C21" s="48" t="inlineStr">
        <is>
          <t>Developer</t>
        </is>
      </c>
      <c r="D21" s="49" t="inlineStr">
        <is>
          <t>Redirect www to the main domain (308)</t>
        </is>
      </c>
      <c r="E21" s="50" t="inlineStr">
        <is>
          <t>Both hostnames currently return 200 with no redirect, so cookies and attribution split in two. Add a 308 www -&gt; apex in the Vercel domain settings. Ten-minute job, real payoff.</t>
        </is>
      </c>
      <c r="F21" s="48" t="inlineStr">
        <is>
          <t>-</t>
        </is>
      </c>
      <c r="G21" s="48" t="inlineStr">
        <is>
          <t>30 min</t>
        </is>
      </c>
      <c r="H21" s="45" t="inlineStr">
        <is>
          <t>Do it</t>
        </is>
      </c>
      <c r="I21" s="43" t="inlineStr">
        <is>
          <t>Not started</t>
        </is>
      </c>
      <c r="J21" s="51" t="inlineStr"/>
    </row>
    <row r="22" ht="64" customHeight="1">
      <c r="A22" s="52" t="n">
        <v>21</v>
      </c>
      <c r="B22" s="53" t="inlineStr">
        <is>
          <t>Day 2 AM</t>
        </is>
      </c>
      <c r="C22" s="54" t="inlineStr">
        <is>
          <t>Developer</t>
        </is>
      </c>
      <c r="D22" s="55" t="inlineStr">
        <is>
          <t>Add the two environment variables</t>
        </is>
      </c>
      <c r="E22" s="56" t="inlineStr">
        <is>
          <t>Exactly TWO. NEXT_PUBLIC_META_PIXEL_ID = the dataset ID (public - it ships in the browser bundle by definition and CANNOT be server-only). META_CAPI_ACCESS_TOKEN = the System User token (the only real secret). Put blank names in .env.example and real values in Vercel &gt; Settings &gt; Environment Variables. Never commit the token.</t>
        </is>
      </c>
      <c r="F22" s="54" t="inlineStr">
        <is>
          <t>4, 6</t>
        </is>
      </c>
      <c r="G22" s="54" t="inlineStr">
        <is>
          <t>30 min</t>
        </is>
      </c>
      <c r="H22" s="42" t="inlineStr">
        <is>
          <t>BLOCKER</t>
        </is>
      </c>
      <c r="I22" s="43" t="inlineStr">
        <is>
          <t>Not started</t>
        </is>
      </c>
      <c r="J22" s="57" t="inlineStr"/>
    </row>
    <row r="23" ht="64" customHeight="1">
      <c r="A23" s="52" t="n">
        <v>22</v>
      </c>
      <c r="B23" s="53" t="inlineStr">
        <is>
          <t>Day 2 AM</t>
        </is>
      </c>
      <c r="C23" s="54" t="inlineStr">
        <is>
          <t>Developer</t>
        </is>
      </c>
      <c r="D23" s="55" t="inlineStr">
        <is>
          <t>Create src/lib/meta.ts</t>
        </is>
      </c>
      <c r="E23" s="56" t="inlineStr">
        <is>
          <t>A small wrapper that does nothing when the env vars are missing, so local dev and CI never fire real events.</t>
        </is>
      </c>
      <c r="F23" s="54" t="inlineStr">
        <is>
          <t>21</t>
        </is>
      </c>
      <c r="G23" s="54" t="inlineStr">
        <is>
          <t>1 hour</t>
        </is>
      </c>
      <c r="H23" s="42" t="inlineStr">
        <is>
          <t>BLOCKER</t>
        </is>
      </c>
      <c r="I23" s="43" t="inlineStr">
        <is>
          <t>Not started</t>
        </is>
      </c>
      <c r="J23" s="57" t="inlineStr"/>
    </row>
    <row r="24" ht="64" customHeight="1">
      <c r="A24" s="52" t="n">
        <v>23</v>
      </c>
      <c r="B24" s="53" t="inlineStr">
        <is>
          <t>Day 2 AM</t>
        </is>
      </c>
      <c r="C24" s="54" t="inlineStr">
        <is>
          <t>Developer</t>
        </is>
      </c>
      <c r="D24" s="55" t="inlineStr">
        <is>
          <t>Build and mount the MetaPixel component</t>
        </is>
      </c>
      <c r="E24" s="56" t="inlineStr">
        <is>
          <t>New file src/components/analytics/MetaPixel.tsx - 'use client', load fbevents.js via next/script strategy="afterInteractive", fire PageView on mount, then mount it in src/app/layout.tsx behind the consent gate. IMPORTANT: do NOT use useSearchParams() in a root-layout component - it forces the whole site into client-side rendering (the same bug already visible on /login). Use usePathname() and read window.location.search inside the effect.</t>
        </is>
      </c>
      <c r="F24" s="54" t="inlineStr">
        <is>
          <t>18, 22</t>
        </is>
      </c>
      <c r="G24" s="54" t="inlineStr">
        <is>
          <t>3 hours</t>
        </is>
      </c>
      <c r="H24" s="42" t="inlineStr">
        <is>
          <t>BLOCKER</t>
        </is>
      </c>
      <c r="I24" s="43" t="inlineStr">
        <is>
          <t>Not started</t>
        </is>
      </c>
      <c r="J24" s="57" t="inlineStr"/>
    </row>
    <row r="25" ht="64" customHeight="1">
      <c r="A25" s="52" t="n">
        <v>24</v>
      </c>
      <c r="B25" s="53" t="inlineStr">
        <is>
          <t>Day 2 AM</t>
        </is>
      </c>
      <c r="C25" s="54" t="inlineStr">
        <is>
          <t>Developer</t>
        </is>
      </c>
      <c r="D25" s="55" t="inlineStr">
        <is>
          <t>Fire the booking event - success branch ONLY</t>
        </is>
      </c>
      <c r="E25" s="56" t="inlineStr">
        <is>
          <t>The URL never changes when a booking completes, because the flow is all React state - so URL-based conversions can never work here. Fire Schedule at the success point in src/components/BookingFlowModal.tsx around line 340. Do NOT fire it in the 409 'slot already taken' branch around line 331.</t>
        </is>
      </c>
      <c r="F25" s="54" t="inlineStr">
        <is>
          <t>23</t>
        </is>
      </c>
      <c r="G25" s="54" t="inlineStr">
        <is>
          <t>1 hour</t>
        </is>
      </c>
      <c r="H25" s="42" t="inlineStr">
        <is>
          <t>BLOCKER</t>
        </is>
      </c>
      <c r="I25" s="43" t="inlineStr">
        <is>
          <t>Not started</t>
        </is>
      </c>
      <c r="J25" s="57" t="inlineStr"/>
    </row>
    <row r="26" ht="64" customHeight="1">
      <c r="A26" s="52" t="n">
        <v>25</v>
      </c>
      <c r="B26" s="53" t="inlineStr">
        <is>
          <t>Day 2 AM</t>
        </is>
      </c>
      <c r="C26" s="54" t="inlineStr">
        <is>
          <t>Developer</t>
        </is>
      </c>
      <c r="D26" s="55" t="inlineStr">
        <is>
          <t>Send the same booking from the server (CAPI)</t>
        </is>
      </c>
      <c r="E26" s="56" t="inlineStr">
        <is>
          <t>src/app/api/bookings/route.ts, after createBooking succeeds and before the response, around line 67 - the only place a booking is provably real. For a health domain CAPI is the PRIMARY channel, not a nice-to-have: browser events get their parameters stripped. Use the SAME event_id as the browser event or every booking counts twice.</t>
        </is>
      </c>
      <c r="F26" s="54" t="inlineStr">
        <is>
          <t>22, 24</t>
        </is>
      </c>
      <c r="G26" s="54" t="inlineStr">
        <is>
          <t>3 hours</t>
        </is>
      </c>
      <c r="H26" s="42" t="inlineStr">
        <is>
          <t>BLOCKER</t>
        </is>
      </c>
      <c r="I26" s="43" t="inlineStr">
        <is>
          <t>Not started</t>
        </is>
      </c>
      <c r="J26" s="57" t="inlineStr"/>
    </row>
    <row r="27" ht="64" customHeight="1">
      <c r="A27" s="52" t="n">
        <v>26</v>
      </c>
      <c r="B27" s="53" t="inlineStr">
        <is>
          <t>Day 2 AM</t>
        </is>
      </c>
      <c r="C27" s="54" t="inlineStr">
        <is>
          <t>Developer</t>
        </is>
      </c>
      <c r="D27" s="55" t="inlineStr">
        <is>
          <t>Audit the payload - send nothing sensitive</t>
        </is>
      </c>
      <c r="E27" s="56" t="inlineStr">
        <is>
          <t>No email, phone, name, date of birth, sex, reason for visit, service name or insurance. Not in the event, not in custom parameters, not in the URL. Do NOT use external_id either - an ID that only exists for people who booked at an OB-GYN is still health-derived under Business Tools Terms 1.h. Then add the Limited Data Use (LDU) flag to every event.</t>
        </is>
      </c>
      <c r="F27" s="54" t="inlineStr">
        <is>
          <t>25</t>
        </is>
      </c>
      <c r="G27" s="54" t="inlineStr">
        <is>
          <t>2 hours</t>
        </is>
      </c>
      <c r="H27" s="42" t="inlineStr">
        <is>
          <t>BLOCKER</t>
        </is>
      </c>
      <c r="I27" s="43" t="inlineStr">
        <is>
          <t>Not started</t>
        </is>
      </c>
      <c r="J27" s="57" t="inlineStr"/>
    </row>
    <row r="28" ht="64" customHeight="1">
      <c r="A28" s="58" t="n">
        <v>27</v>
      </c>
      <c r="B28" s="59" t="inlineStr">
        <is>
          <t>Day 2 PM</t>
        </is>
      </c>
      <c r="C28" s="60" t="inlineStr">
        <is>
          <t>Developer</t>
        </is>
      </c>
      <c r="D28" s="61" t="inlineStr">
        <is>
          <t>Track phone clicks</t>
        </is>
      </c>
      <c r="E28" s="62" t="inlineStr">
        <is>
          <t>The phone is the ONLY conversion path that fully works today and nothing measures it - 10 tel: links on the site. Add a Contact event at the shared button component src/components/site/ui.tsx (the tel: branch, roughly lines 42-51); needs 'use client' added. It is a proxy only - it cannot tell an answered call from a misdial.</t>
        </is>
      </c>
      <c r="F28" s="60" t="inlineStr">
        <is>
          <t>23</t>
        </is>
      </c>
      <c r="G28" s="60" t="inlineStr">
        <is>
          <t>1 hour</t>
        </is>
      </c>
      <c r="H28" s="45" t="inlineStr">
        <is>
          <t>Do it</t>
        </is>
      </c>
      <c r="I28" s="43" t="inlineStr">
        <is>
          <t>Not started</t>
        </is>
      </c>
      <c r="J28" s="63" t="inlineStr"/>
    </row>
    <row r="29" ht="64" customHeight="1">
      <c r="A29" s="58" t="n">
        <v>28</v>
      </c>
      <c r="B29" s="59" t="inlineStr">
        <is>
          <t>Day 2 PM</t>
        </is>
      </c>
      <c r="C29" s="60" t="inlineStr">
        <is>
          <t>Developer</t>
        </is>
      </c>
      <c r="D29" s="61" t="inlineStr">
        <is>
          <t>Test the whole funnel on the live site</t>
        </is>
      </c>
      <c r="E29" s="62" t="inlineStr">
        <is>
          <t>Install the Meta Pixel Helper extension and walk the entire journey on the LIVE domain. Then Events Manager &gt; Test Events: confirm events arrive, are NOT duplicated, and carry nothing sensitive. Do not skip this - it is the last gate before money moves.</t>
        </is>
      </c>
      <c r="F29" s="60" t="inlineStr">
        <is>
          <t>26</t>
        </is>
      </c>
      <c r="G29" s="60" t="inlineStr">
        <is>
          <t>2 hours</t>
        </is>
      </c>
      <c r="H29" s="42" t="inlineStr">
        <is>
          <t>BLOCKER</t>
        </is>
      </c>
      <c r="I29" s="43" t="inlineStr">
        <is>
          <t>Not started</t>
        </is>
      </c>
      <c r="J29" s="63" t="inlineStr"/>
    </row>
    <row r="30" ht="64" customHeight="1">
      <c r="A30" s="58" t="n">
        <v>29</v>
      </c>
      <c r="B30" s="59" t="inlineStr">
        <is>
          <t>Day 2 PM</t>
        </is>
      </c>
      <c r="C30" s="60" t="inlineStr">
        <is>
          <t>Developer</t>
        </is>
      </c>
      <c r="D30" s="61" t="inlineStr">
        <is>
          <t>Remove the test event code</t>
        </is>
      </c>
      <c r="E30" s="62" t="inlineStr">
        <is>
          <t>If META_TEST_EVENT_CODE is left in, live events land in test mode only and nothing counts for real.</t>
        </is>
      </c>
      <c r="F30" s="60" t="inlineStr">
        <is>
          <t>28</t>
        </is>
      </c>
      <c r="G30" s="60" t="inlineStr">
        <is>
          <t>10 min</t>
        </is>
      </c>
      <c r="H30" s="42" t="inlineStr">
        <is>
          <t>BLOCKER</t>
        </is>
      </c>
      <c r="I30" s="43" t="inlineStr">
        <is>
          <t>Not started</t>
        </is>
      </c>
      <c r="J30" s="63" t="inlineStr"/>
    </row>
    <row r="31" ht="64" customHeight="1">
      <c r="A31" s="58" t="n">
        <v>30</v>
      </c>
      <c r="B31" s="59" t="inlineStr">
        <is>
          <t>Day 2 PM</t>
        </is>
      </c>
      <c r="C31" s="60" t="inlineStr">
        <is>
          <t>Owner + dev</t>
        </is>
      </c>
      <c r="D31" s="61" t="inlineStr">
        <is>
          <t>Click Verify on the domain</t>
        </is>
      </c>
      <c r="E31" s="62" t="inlineStr">
        <is>
          <t>Go back to Business Settings &gt; Brand safety &gt; Domains and confirm the TXT record you added on day 1 now resolves. If it has not propagated yet, keep checking - AEM cannot be configured until it verifies.</t>
        </is>
      </c>
      <c r="F31" s="60" t="inlineStr">
        <is>
          <t>7</t>
        </is>
      </c>
      <c r="G31" s="60" t="inlineStr">
        <is>
          <t>10 min</t>
        </is>
      </c>
      <c r="H31" s="42" t="inlineStr">
        <is>
          <t>BLOCKER</t>
        </is>
      </c>
      <c r="I31" s="43" t="inlineStr">
        <is>
          <t>Not started</t>
        </is>
      </c>
      <c r="J31" s="63" t="inlineStr"/>
    </row>
    <row r="32" ht="64" customHeight="1">
      <c r="A32" s="58" t="n">
        <v>31</v>
      </c>
      <c r="B32" s="59" t="inlineStr">
        <is>
          <t>Day 2 PM</t>
        </is>
      </c>
      <c r="C32" s="60" t="inlineStr">
        <is>
          <t>Owner + dev</t>
        </is>
      </c>
      <c r="D32" s="61" t="inlineStr">
        <is>
          <t>Rank the 8 AEM events - ONCE</t>
        </is>
      </c>
      <c r="E32" s="62" t="inlineStr">
        <is>
          <t>Events Manager &gt; Aggregated Event Measurement &gt; Configure Web Events. Rank the 8 events by business value. Get it right first time: re-ranking later freezes delivery AND reporting for about 72 hours, which would wipe out a short test.</t>
        </is>
      </c>
      <c r="F32" s="60" t="inlineStr">
        <is>
          <t>28, 30</t>
        </is>
      </c>
      <c r="G32" s="60" t="inlineStr">
        <is>
          <t>45 min</t>
        </is>
      </c>
      <c r="H32" s="42" t="inlineStr">
        <is>
          <t>BLOCKER</t>
        </is>
      </c>
      <c r="I32" s="43" t="inlineStr">
        <is>
          <t>Not started</t>
        </is>
      </c>
      <c r="J32" s="63" t="inlineStr"/>
    </row>
    <row r="33" ht="64" customHeight="1">
      <c r="A33" s="58" t="n">
        <v>32</v>
      </c>
      <c r="B33" s="59" t="inlineStr">
        <is>
          <t>Day 2 PM</t>
        </is>
      </c>
      <c r="C33" s="60" t="inlineStr">
        <is>
          <t>Owner + dev</t>
        </is>
      </c>
      <c r="D33" s="61" t="inlineStr">
        <is>
          <t>Build the campaign - ONE ad set</t>
        </is>
      </c>
      <c r="E33" s="62" t="inlineStr">
        <is>
          <t>Special Ad Category = None (health is NOT a special category, so you keep full targeting). Age 18+ - required by Meta's Health and Wellness policy for reproductive health ads. ONE ad set, not three: Meta needs ~50 events per ad set per week to leave the learning phase and this practice will not produce that many bookings.</t>
        </is>
      </c>
      <c r="F33" s="60" t="inlineStr">
        <is>
          <t>14, 15, 16, 31</t>
        </is>
      </c>
      <c r="G33" s="60" t="inlineStr">
        <is>
          <t>2 hours</t>
        </is>
      </c>
      <c r="H33" s="42" t="inlineStr">
        <is>
          <t>BLOCKER</t>
        </is>
      </c>
      <c r="I33" s="43" t="inlineStr">
        <is>
          <t>Not started</t>
        </is>
      </c>
      <c r="J33" s="63" t="inlineStr"/>
    </row>
    <row r="34" ht="64" customHeight="1">
      <c r="A34" s="58" t="n">
        <v>33</v>
      </c>
      <c r="B34" s="59" t="inlineStr">
        <is>
          <t>Day 2 PM</t>
        </is>
      </c>
      <c r="C34" s="60" t="inlineStr">
        <is>
          <t>Owner + dev</t>
        </is>
      </c>
      <c r="D34" s="61" t="inlineStr">
        <is>
          <t>Optimize on an early event, not bookings</t>
        </is>
      </c>
      <c r="E34" s="62" t="inlineStr">
        <is>
          <t>Set the ad set to optimize for registration or the landing-page CTA, NOT completed bookings - there is not enough booking volume to train on. Report bookings as the business result via CAPI instead.</t>
        </is>
      </c>
      <c r="F34" s="60" t="inlineStr">
        <is>
          <t>32</t>
        </is>
      </c>
      <c r="G34" s="60" t="inlineStr">
        <is>
          <t>20 min</t>
        </is>
      </c>
      <c r="H34" s="42" t="inlineStr">
        <is>
          <t>BLOCKER</t>
        </is>
      </c>
      <c r="I34" s="43" t="inlineStr">
        <is>
          <t>Not started</t>
        </is>
      </c>
      <c r="J34" s="63" t="inlineStr"/>
    </row>
    <row r="35" ht="64" customHeight="1">
      <c r="A35" s="58" t="n">
        <v>34</v>
      </c>
      <c r="B35" s="59" t="inlineStr">
        <is>
          <t>Day 2 PM</t>
        </is>
      </c>
      <c r="C35" s="60" t="inlineStr">
        <is>
          <t>Clinic owner</t>
        </is>
      </c>
      <c r="D35" s="61" t="inlineStr">
        <is>
          <t>Set the budget at $150-$400 a day</t>
        </is>
      </c>
      <c r="E35" s="62" t="inlineStr">
        <is>
          <t>The realistic range for this practice. Expect 2-4 bookings a day in month one. Do NOT plan around 60 a day - that would cost $147k-$267k a month and is above what three providers can physically see.</t>
        </is>
      </c>
      <c r="F35" s="60" t="inlineStr">
        <is>
          <t>32</t>
        </is>
      </c>
      <c r="G35" s="60" t="inlineStr">
        <is>
          <t>10 min</t>
        </is>
      </c>
      <c r="H35" s="45" t="inlineStr">
        <is>
          <t>Do it</t>
        </is>
      </c>
      <c r="I35" s="43" t="inlineStr">
        <is>
          <t>Not started</t>
        </is>
      </c>
      <c r="J35" s="63" t="inlineStr"/>
    </row>
    <row r="36" ht="64" customHeight="1">
      <c r="A36" s="58" t="n">
        <v>35</v>
      </c>
      <c r="B36" s="59" t="inlineStr">
        <is>
          <t>Day 2 PM</t>
        </is>
      </c>
      <c r="C36" s="60" t="inlineStr">
        <is>
          <t>Owner + dev</t>
        </is>
      </c>
      <c r="D36" s="61" t="inlineStr">
        <is>
          <t>Submit the ads for review</t>
        </is>
      </c>
      <c r="E36" s="62" t="inlineStr">
        <is>
          <t>This is where day 2 ends. Ads sit in review for roughly 24-48 hours, and reproductive health advertisers get auto-flagged more often than average. Realistic go-live is DAY 3, not day 2. Submit as early in the afternoon as you can.</t>
        </is>
      </c>
      <c r="F36" s="60" t="inlineStr">
        <is>
          <t>33, 34</t>
        </is>
      </c>
      <c r="G36" s="60" t="inlineStr">
        <is>
          <t>30 min</t>
        </is>
      </c>
      <c r="H36" s="42" t="inlineStr">
        <is>
          <t>BLOCKER</t>
        </is>
      </c>
      <c r="I36" s="43" t="inlineStr">
        <is>
          <t>Not started</t>
        </is>
      </c>
      <c r="J36" s="63" t="inlineStr"/>
    </row>
    <row r="37" ht="64" customHeight="1">
      <c r="A37" s="64" t="n">
        <v>36</v>
      </c>
      <c r="B37" s="65" t="inlineStr">
        <is>
          <t>After launch</t>
        </is>
      </c>
      <c r="C37" s="66" t="inlineStr">
        <is>
          <t>Clinic owner</t>
        </is>
      </c>
      <c r="D37" s="67" t="inlineStr">
        <is>
          <t>Check Account Quality every day</t>
        </is>
      </c>
      <c r="E37" s="68" t="inlineStr">
        <is>
          <t>business.facebook.com/accountquality. Give it to a NAMED person. Reproductive health clinics get auto-flagged far more than average, and a weekend restriction nobody notices burns the whole test. Agree in advance who appeals.</t>
        </is>
      </c>
      <c r="F37" s="66" t="inlineStr">
        <is>
          <t>35</t>
        </is>
      </c>
      <c r="G37" s="66" t="inlineStr">
        <is>
          <t>10 min/day</t>
        </is>
      </c>
      <c r="H37" s="42" t="inlineStr">
        <is>
          <t>BLOCKER</t>
        </is>
      </c>
      <c r="I37" s="43" t="inlineStr">
        <is>
          <t>Not started</t>
        </is>
      </c>
      <c r="J37" s="69" t="inlineStr"/>
    </row>
    <row r="38" ht="64" customHeight="1">
      <c r="A38" s="64" t="n">
        <v>37</v>
      </c>
      <c r="B38" s="65" t="inlineStr">
        <is>
          <t>After launch</t>
        </is>
      </c>
      <c r="C38" s="66" t="inlineStr">
        <is>
          <t>Clinic owner</t>
        </is>
      </c>
      <c r="D38" s="67" t="inlineStr">
        <is>
          <t>5-minute callback rule + Spanish cover</t>
        </is>
      </c>
      <c r="E38" s="68" t="inlineStr">
        <is>
          <t>Call every new booking or enquiry back within 5 minutes during office hours. The homepage advertises 'Se habla espanol' - make sure the phone really is answered in Spanish while the ads run. Decide what happens to after-hours leads, or daypart the ads.</t>
        </is>
      </c>
      <c r="F38" s="66" t="inlineStr">
        <is>
          <t>35</t>
        </is>
      </c>
      <c r="G38" s="66" t="inlineStr">
        <is>
          <t>1 hour</t>
        </is>
      </c>
      <c r="H38" s="42" t="inlineStr">
        <is>
          <t>BLOCKER</t>
        </is>
      </c>
      <c r="I38" s="43" t="inlineStr">
        <is>
          <t>Not started</t>
        </is>
      </c>
      <c r="J38" s="69" t="inlineStr"/>
    </row>
    <row r="39" ht="64" customHeight="1">
      <c r="A39" s="64" t="n">
        <v>38</v>
      </c>
      <c r="B39" s="65" t="inlineStr">
        <is>
          <t>After launch</t>
        </is>
      </c>
      <c r="C39" s="66" t="inlineStr">
        <is>
          <t>Owner + dev</t>
        </is>
      </c>
      <c r="D39" s="67" t="inlineStr">
        <is>
          <t>Get counsel to review the privacy policy</t>
        </is>
      </c>
      <c r="E39" s="68" t="inlineStr">
        <is>
          <t>You published it on day 1 without a lawyer to hit the deadline. Close that gap in week one, not month three. See the 'Risks We Accepted' tab.</t>
        </is>
      </c>
      <c r="F39" s="66" t="inlineStr">
        <is>
          <t>17</t>
        </is>
      </c>
      <c r="G39" s="66" t="inlineStr">
        <is>
          <t>1 week</t>
        </is>
      </c>
      <c r="H39" s="42" t="inlineStr">
        <is>
          <t>BLOCKER</t>
        </is>
      </c>
      <c r="I39" s="43" t="inlineStr">
        <is>
          <t>Not started</t>
        </is>
      </c>
      <c r="J39" s="69" t="inlineStr"/>
    </row>
    <row r="40" ht="64" customHeight="1">
      <c r="A40" s="64" t="n">
        <v>39</v>
      </c>
      <c r="B40" s="65" t="inlineStr">
        <is>
          <t>After launch</t>
        </is>
      </c>
      <c r="C40" s="66" t="inlineStr">
        <is>
          <t>Developer</t>
        </is>
      </c>
      <c r="D40" s="67" t="inlineStr">
        <is>
          <t>Do the real fix: guest booking</t>
        </is>
      </c>
      <c r="E40" s="68" t="inlineStr">
        <is>
          <t>THE BIGGEST WIN AVAILABLE. Only ~19% of people who click Book ever get an appointment, because of the forced account + emailed OTP. The database already supports guest bookings - BookingDoc.userId is nullable and repo.ts linkGuestBookings adopts them by email later. Letting people book first and register after could lift that to ~45% - roughly 2.4x more bookings at identical ad spend.</t>
        </is>
      </c>
      <c r="F40" s="66" t="inlineStr">
        <is>
          <t>35</t>
        </is>
      </c>
      <c r="G40" s="66" t="inlineStr">
        <is>
          <t>2-4 days</t>
        </is>
      </c>
      <c r="H40" s="42" t="inlineStr">
        <is>
          <t>BLOCKER</t>
        </is>
      </c>
      <c r="I40" s="43" t="inlineStr">
        <is>
          <t>Not started</t>
        </is>
      </c>
      <c r="J40" s="69" t="inlineStr"/>
    </row>
    <row r="41" ht="64" customHeight="1">
      <c r="A41" s="64" t="n">
        <v>40</v>
      </c>
      <c r="B41" s="65" t="inlineStr">
        <is>
          <t>After launch</t>
        </is>
      </c>
      <c r="C41" s="66" t="inlineStr">
        <is>
          <t>Clinic owner</t>
        </is>
      </c>
      <c r="D41" s="67" t="inlineStr">
        <is>
          <t>Finish Business Verification</t>
        </is>
      </c>
      <c r="E41" s="68" t="inlineStr">
        <is>
          <t>Security Center &gt; Start Verification. Not needed to run ads, which is why it was cut from the 2-day plan, but it raises spend limits and reduces interruptions. Submit it in week one.</t>
        </is>
      </c>
      <c r="F41" s="66" t="inlineStr">
        <is>
          <t>2</t>
        </is>
      </c>
      <c r="G41" s="66" t="inlineStr">
        <is>
          <t>45 min + queue</t>
        </is>
      </c>
      <c r="H41" s="45" t="inlineStr">
        <is>
          <t>Do it</t>
        </is>
      </c>
      <c r="I41" s="43" t="inlineStr">
        <is>
          <t>Not started</t>
        </is>
      </c>
      <c r="J41" s="69" t="inlineStr"/>
    </row>
    <row r="42" ht="64" customHeight="1">
      <c r="A42" s="64" t="n">
        <v>41</v>
      </c>
      <c r="B42" s="65" t="inlineStr">
        <is>
          <t>After launch</t>
        </is>
      </c>
      <c r="C42" s="66" t="inlineStr">
        <is>
          <t>Developer</t>
        </is>
      </c>
      <c r="D42" s="67" t="inlineStr">
        <is>
          <t>Fix the impossible Friday slots</t>
        </is>
      </c>
      <c r="E42" s="68" t="inlineStr">
        <is>
          <t>scripts/seed.mjs only skips Saturday and Sunday, so it creates all 12 Friday times including 2:30, 3:15, 4:00 and 4:45pm - after the 2pm Friday close. Four bookable-but-impossible appointments every Friday, guaranteed no-shows or angry callbacks.</t>
        </is>
      </c>
      <c r="F42" s="66" t="inlineStr">
        <is>
          <t>-</t>
        </is>
      </c>
      <c r="G42" s="66" t="inlineStr">
        <is>
          <t>1 hour</t>
        </is>
      </c>
      <c r="H42" s="45" t="inlineStr">
        <is>
          <t>Do it</t>
        </is>
      </c>
      <c r="I42" s="43" t="inlineStr">
        <is>
          <t>Not started</t>
        </is>
      </c>
      <c r="J42" s="69" t="inlineStr"/>
    </row>
    <row r="43" ht="64" customHeight="1">
      <c r="A43" s="64" t="n">
        <v>42</v>
      </c>
      <c r="B43" s="65" t="inlineStr">
        <is>
          <t>After launch</t>
        </is>
      </c>
      <c r="C43" s="66" t="inlineStr">
        <is>
          <t>Developer</t>
        </is>
      </c>
      <c r="D43" s="67" t="inlineStr">
        <is>
          <t>Add metadataBase, canonical and og:image</t>
        </is>
      </c>
      <c r="E43" s="68" t="inlineStr">
        <is>
          <t>No canonical tag, no og:url and no metadataBase anywhere, so ad link previews render with no picture. Cosmetic for launch, worth doing in week one.</t>
        </is>
      </c>
      <c r="F43" s="66" t="inlineStr">
        <is>
          <t>-</t>
        </is>
      </c>
      <c r="G43" s="66" t="inlineStr">
        <is>
          <t>1-2 hours</t>
        </is>
      </c>
      <c r="H43" s="70" t="inlineStr">
        <is>
          <t>Can wait</t>
        </is>
      </c>
      <c r="I43" s="43" t="inlineStr">
        <is>
          <t>Not started</t>
        </is>
      </c>
      <c r="J43" s="69" t="inlineStr"/>
    </row>
    <row r="44" ht="64" customHeight="1">
      <c r="A44" s="64" t="n">
        <v>43</v>
      </c>
      <c r="B44" s="65" t="inlineStr">
        <is>
          <t>After launch</t>
        </is>
      </c>
      <c r="C44" s="66" t="inlineStr">
        <is>
          <t>Clinic owner</t>
        </is>
      </c>
      <c r="D44" s="67" t="inlineStr">
        <is>
          <t>Set up Instagram properly</t>
        </is>
      </c>
      <c r="E44" s="68" t="inlineStr">
        <is>
          <t>Create a Professional (Business) account, add it to the portfolio and link it to the Page. Cut from the 2-day plan - launch on Facebook placements only and add Instagram in week one.</t>
        </is>
      </c>
      <c r="F44" s="66" t="inlineStr">
        <is>
          <t>12</t>
        </is>
      </c>
      <c r="G44" s="66" t="inlineStr">
        <is>
          <t>1 hour</t>
        </is>
      </c>
      <c r="H44" s="70" t="inlineStr">
        <is>
          <t>Can wait</t>
        </is>
      </c>
      <c r="I44" s="43" t="inlineStr">
        <is>
          <t>Not started</t>
        </is>
      </c>
      <c r="J44" s="69" t="inlineStr"/>
    </row>
    <row r="45" ht="64" customHeight="1">
      <c r="A45" s="64" t="n">
        <v>44</v>
      </c>
      <c r="B45" s="65" t="inlineStr">
        <is>
          <t>After launch</t>
        </is>
      </c>
      <c r="C45" s="66" t="inlineStr">
        <is>
          <t>Owner + dev</t>
        </is>
      </c>
      <c r="D45" s="67" t="inlineStr">
        <is>
          <t>Decide about call tracking</t>
        </is>
      </c>
      <c r="E45" s="68" t="inlineStr">
        <is>
          <t>For real call measurement you need a tracking number with dynamic number insertion. IMPORTANT: any vendor that records or transcribes patient calls handles PHI and MUST sign a BAA - CallRail will, most cheap trackers will not. Arizona is one-party consent so recording is legal; the constraint is HIPAA, not wiretap law.</t>
        </is>
      </c>
      <c r="F45" s="66" t="inlineStr">
        <is>
          <t>27</t>
        </is>
      </c>
      <c r="G45" s="66" t="inlineStr">
        <is>
          <t>1 day</t>
        </is>
      </c>
      <c r="H45" s="70" t="inlineStr">
        <is>
          <t>Can wait</t>
        </is>
      </c>
      <c r="I45" s="43" t="inlineStr">
        <is>
          <t>Not started</t>
        </is>
      </c>
      <c r="J45" s="69" t="inlineStr"/>
    </row>
    <row r="46" ht="64" customHeight="1">
      <c r="A46" s="64" t="n">
        <v>45</v>
      </c>
      <c r="B46" s="65" t="inlineStr">
        <is>
          <t>After launch</t>
        </is>
      </c>
      <c r="C46" s="66" t="inlineStr">
        <is>
          <t>Clinic owner</t>
        </is>
      </c>
      <c r="D46" s="67" t="inlineStr">
        <is>
          <t>Set a target cost per patient against payer mix</t>
        </is>
      </c>
      <c r="E46" s="68" t="inlineStr">
        <is>
          <t>The homepage leads with 'AHCCCS &amp; WIC accepted' and 60+ plans. Meta cannot target by insurance, so paid volume drifts toward whichever payer the ad advertises. Set a target against real reimbursement, not a flat $100. This is the most likely reason week-two numbers look good and lose money.</t>
        </is>
      </c>
      <c r="F46" s="66" t="inlineStr">
        <is>
          <t>35</t>
        </is>
      </c>
      <c r="G46" s="66" t="inlineStr">
        <is>
          <t>2 hours</t>
        </is>
      </c>
      <c r="H46" s="45" t="inlineStr">
        <is>
          <t>Do it</t>
        </is>
      </c>
      <c r="I46" s="43" t="inlineStr">
        <is>
          <t>Not started</t>
        </is>
      </c>
      <c r="J46" s="69" t="inlineStr"/>
    </row>
    <row r="47" ht="64" customHeight="1">
      <c r="A47" s="64" t="n">
        <v>46</v>
      </c>
      <c r="B47" s="65" t="inlineStr">
        <is>
          <t>After launch</t>
        </is>
      </c>
      <c r="C47" s="66" t="inlineStr">
        <is>
          <t>Clinic owner</t>
        </is>
      </c>
      <c r="D47" s="67" t="inlineStr">
        <is>
          <t>Track who actually shows up</t>
        </is>
      </c>
      <c r="E47" s="68" t="inlineStr">
        <is>
          <t>A booking is not a kept appointment. Expect ~35% no-shows for ad-sourced first-time patients. Judge the ads on kept appointments and feed that back into budget decisions.</t>
        </is>
      </c>
      <c r="F47" s="66" t="inlineStr">
        <is>
          <t>35</t>
        </is>
      </c>
      <c r="G47" s="66" t="inlineStr">
        <is>
          <t>ongoing</t>
        </is>
      </c>
      <c r="H47" s="45" t="inlineStr">
        <is>
          <t>Do it</t>
        </is>
      </c>
      <c r="I47" s="43" t="inlineStr">
        <is>
          <t>Not started</t>
        </is>
      </c>
      <c r="J47" s="69" t="inlineStr"/>
    </row>
  </sheetData>
  <autoFilter ref="A1:J47"/>
  <conditionalFormatting sqref="I2:I47">
    <cfRule type="cellIs" priority="1" operator="equal" dxfId="0">
      <formula>"Done"</formula>
    </cfRule>
    <cfRule type="cellIs" priority="2" operator="equal" dxfId="1">
      <formula>"Blocked"</formula>
    </cfRule>
    <cfRule type="cellIs" priority="3" operator="equal" dxfId="2">
      <formula>"In progress"</formula>
    </cfRule>
  </conditionalFormatting>
  <dataValidations count="1">
    <dataValidation sqref="I2:I47" showDropDown="0" showInputMessage="0" showErrorMessage="0" allowBlank="1" error="Pick one of: Not started, In progress, Done, Blocked, N/A" prompt="Choose a status" type="list">
      <formula1>"Not started,In progress,Done,Blocked,N/A"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showGridLines="0" workbookViewId="0">
      <pane ySplit="1" topLeftCell="A2" activePane="bottomLeft" state="frozen"/>
      <selection pane="bottomLeft" activeCell="A1" sqref="A1"/>
    </sheetView>
  </sheetViews>
  <sheetFormatPr baseColWidth="8" defaultRowHeight="15"/>
  <cols>
    <col width="42" customWidth="1" min="1" max="1"/>
    <col width="22" customWidth="1" min="2" max="2"/>
    <col width="100" customWidth="1" min="3" max="3"/>
  </cols>
  <sheetData>
    <row r="1" ht="28" customHeight="1">
      <c r="A1" s="71" t="inlineStr">
        <is>
          <t>What was cut or compressed</t>
        </is>
      </c>
      <c r="B1" s="71" t="inlineStr">
        <is>
          <t>Risk level</t>
        </is>
      </c>
      <c r="C1" s="71" t="inlineStr">
        <is>
          <t>What it means</t>
        </is>
      </c>
    </row>
    <row r="2" ht="58" customHeight="1">
      <c r="A2" s="72" t="inlineStr">
        <is>
          <t>Ads go live on DAY 3, not day 2</t>
        </is>
      </c>
      <c r="B2" s="73" t="inlineStr">
        <is>
          <t>Real</t>
        </is>
      </c>
      <c r="C2" s="74" t="inlineStr">
        <is>
          <t>Meta ad review takes roughly 24-48 hours, and reproductive health advertisers are auto-flagged more often than average. Two days of work gets the ads SUBMITTED. Nothing you do compresses the review queue.</t>
        </is>
      </c>
    </row>
    <row r="3" ht="58" customHeight="1">
      <c r="A3" s="72" t="inlineStr">
        <is>
          <t>The privacy policy goes live without a lawyer</t>
        </is>
      </c>
      <c r="B3" s="75" t="inlineStr">
        <is>
          <t>HIGH - decide consciously</t>
        </is>
      </c>
      <c r="C3" s="74" t="inlineStr">
        <is>
          <t>It normally takes 3-5 days to get counsel to review. To hit the deadline you publish on day 1 and have it reviewed afterwards. The page must still name Meta, disclose _fbp and _fbc, and offer an opt-out - a generic template does NOT satisfy the notice duty. Book the review for week one.</t>
        </is>
      </c>
    </row>
    <row r="4" ht="58" customHeight="1">
      <c r="A4" s="72" t="inlineStr">
        <is>
          <t>Guest booking is NOT fixed</t>
        </is>
      </c>
      <c r="B4" s="75" t="inlineStr">
        <is>
          <t>HIGH - costs money every day</t>
        </is>
      </c>
      <c r="C4" s="74" t="inlineStr">
        <is>
          <t>The real fix is 2-4 days of work on its own. Instead day 1 just server-renders the register form and fixes the copy. That means you are still paying for clicks that hit a forced account + emailed OTP wall, where only ~19% get through. Budget accordingly and fix it in week one.</t>
        </is>
      </c>
    </row>
    <row r="5" ht="58" customHeight="1">
      <c r="A5" s="72" t="inlineStr">
        <is>
          <t>Business verification is skipped</t>
        </is>
      </c>
      <c r="B5" s="76" t="inlineStr">
        <is>
          <t>Low</t>
        </is>
      </c>
      <c r="C5" s="74" t="inlineStr">
        <is>
          <t>Not required to run ads. It raises spend limits and reduces interruptions, so submit it in week one - it just does not block launch.</t>
        </is>
      </c>
    </row>
    <row r="6" ht="58" customHeight="1">
      <c r="A6" s="72" t="inlineStr">
        <is>
          <t>Instagram placements are off at launch</t>
        </is>
      </c>
      <c r="B6" s="76" t="inlineStr">
        <is>
          <t>Low</t>
        </is>
      </c>
      <c r="C6" s="74" t="inlineStr">
        <is>
          <t>Creating and linking a professional account properly takes time you do not have. Launch on Facebook placements only and add Instagram in week one.</t>
        </is>
      </c>
    </row>
    <row r="7" ht="58" customHeight="1">
      <c r="A7" s="72" t="inlineStr">
        <is>
          <t>Page services list is short</t>
        </is>
      </c>
      <c r="B7" s="76" t="inlineStr">
        <is>
          <t>Low</t>
        </is>
      </c>
      <c r="C7" s="74" t="inlineStr">
        <is>
          <t>Only the essentials go in on day 1: name, both addresses, phone, hours, category, website. Fill in the full services list after launch.</t>
        </is>
      </c>
    </row>
    <row r="8" ht="58" customHeight="1">
      <c r="A8" s="72" t="inlineStr">
        <is>
          <t>DNS propagation may not finish on day 1</t>
        </is>
      </c>
      <c r="B8" s="73" t="inlineStr">
        <is>
          <t>Medium</t>
        </is>
      </c>
      <c r="C8" s="74" t="inlineStr">
        <is>
          <t>The TXT record is added first thing on day 1 for exactly this reason. If it has not propagated by day 2 afternoon, AEM cannot be configured and launch slips a day. This is the single most likely thing to break the timeline.</t>
        </is>
      </c>
    </row>
    <row r="9" ht="58" customHeight="1">
      <c r="A9" s="72" t="inlineStr">
        <is>
          <t>Nothing on the Hard Rules tab was cut</t>
        </is>
      </c>
      <c r="B9" s="76" t="inlineStr">
        <is>
          <t>None</t>
        </is>
      </c>
      <c r="C9" s="74" t="inlineStr">
        <is>
          <t>Speed changes the schedule, not the compliance rails. Advanced matching still goes off, no health data is ever sent, the consent gate still ships, ads are still 18+, and the copy rules still apply. These are the items that cause real damage - none of them were traded for time.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showGridLines="0" workbookViewId="0">
      <pane ySplit="1" topLeftCell="A2" activePane="bottomLeft" state="frozen"/>
      <selection pane="bottomLeft" activeCell="A1" sqref="A1"/>
    </sheetView>
  </sheetViews>
  <sheetFormatPr baseColWidth="8" defaultRowHeight="15"/>
  <cols>
    <col width="5" customWidth="1" min="1" max="1"/>
    <col width="40" customWidth="1" min="2" max="2"/>
    <col width="112" customWidth="1" min="3" max="3"/>
  </cols>
  <sheetData>
    <row r="1" ht="28" customHeight="1">
      <c r="A1" s="71" t="inlineStr">
        <is>
          <t>#</t>
        </is>
      </c>
      <c r="B1" s="71" t="inlineStr">
        <is>
          <t>Never do this</t>
        </is>
      </c>
      <c r="C1" s="71" t="inlineStr">
        <is>
          <t>Why it matters</t>
        </is>
      </c>
    </row>
    <row r="2" ht="58" customHeight="1">
      <c r="A2" s="77" t="n">
        <v>1</v>
      </c>
      <c r="B2" s="78" t="inlineStr">
        <is>
          <t>Never send health information to Meta</t>
        </is>
      </c>
      <c r="C2" s="79" t="inlineStr">
        <is>
          <t>Business Tools Terms 1.h bans sharing data that 'includes or is based on, directly or otherwise, health information'. An event carrying visit_reason='Pregnancy Test', or a URL like /book/pregnancy-test, breaks it outright - and 'based on, directly or otherwise' also catches a completely generic event that fires ONLY on a pregnancy-test page.</t>
        </is>
      </c>
    </row>
    <row r="3" ht="58" customHeight="1">
      <c r="A3" s="80" t="n">
        <v>2</v>
      </c>
      <c r="B3" s="81" t="inlineStr">
        <is>
          <t>Never name an audience after a condition</t>
        </is>
      </c>
      <c r="C3" s="82" t="inlineStr">
        <is>
          <t>A Custom Audience called 'Prenatal Leads' or 'Pregnancy Test Bookers' breaks the same clause. Neutral names only.</t>
        </is>
      </c>
    </row>
    <row r="4" ht="58" customHeight="1">
      <c r="A4" s="77" t="n">
        <v>3</v>
      </c>
      <c r="B4" s="78" t="inlineStr">
        <is>
          <t>Never turn on automatic advanced matching</t>
        </is>
      </c>
      <c r="C4" s="79" t="inlineStr">
        <is>
          <t>It scrapes form fields and will harvest date of birth and sex from the booking form. Hashing is NOT de-identification under HIPAA. This is exactly the Advocate Aurora ($12.25M) and Novant Health ($6.6M) fact pattern.</t>
        </is>
      </c>
    </row>
    <row r="5" ht="58" customHeight="1">
      <c r="A5" s="80" t="n">
        <v>4</v>
      </c>
      <c r="B5" s="81" t="inlineStr">
        <is>
          <t>external_id is NOT safe here either</t>
        </is>
      </c>
      <c r="C5" s="82" t="inlineStr">
        <is>
          <t>An internal user ID that only exists for people who booked at an OB-GYN is health-derived data and a permanent re-identification key. Sensitivity comes from what an ID is attached to, not what is inside it.</t>
        </is>
      </c>
    </row>
    <row r="6" ht="58" customHeight="1">
      <c r="A6" s="77" t="n">
        <v>5</v>
      </c>
      <c r="B6" s="78" t="inlineStr">
        <is>
          <t>Server-side is not a loophole</t>
        </is>
      </c>
      <c r="C6" s="79" t="inlineStr">
        <is>
          <t>The Conversions API is subject to the same domain-level restrictions as the browser pixel, and events from a restricted source are discarded on arrival. CAPI is still right - its value is that you control and clean the payload, not that it dodges the rules.</t>
        </is>
      </c>
    </row>
    <row r="7" ht="58" customHeight="1">
      <c r="A7" s="80" t="n">
        <v>6</v>
      </c>
      <c r="B7" s="81" t="inlineStr">
        <is>
          <t>One bad URL can restrict the entire pixel</t>
        </is>
      </c>
      <c r="C7" s="82" t="inlineStr">
        <is>
          <t>Meta classifies health and wellness domains and filters at DOMAIN level - stripping custom parameters and URL text, and restricting lower-funnel events. One careless service URL can degrade even plain well-woman campaigns. Getting a restriction lifted is slow and uncertain.</t>
        </is>
      </c>
    </row>
    <row r="8" ht="58" customHeight="1">
      <c r="A8" s="77" t="n">
        <v>7</v>
      </c>
      <c r="B8" s="78" t="inlineStr">
        <is>
          <t>Meta will not sign a BAA</t>
        </is>
      </c>
      <c r="C8" s="79" t="inlineStr">
        <is>
          <t>Any PHI reaching Meta is an impermissible disclosure. The June 2024 AHA v. Becerra ruling does not help here - it only covered IP address plus a visit to a public unauthenticated page, not a flow where a patient submits identity and reason for visit.</t>
        </is>
      </c>
    </row>
    <row r="9" ht="58" customHeight="1">
      <c r="A9" s="80" t="n">
        <v>8</v>
      </c>
      <c r="B9" s="81" t="inlineStr">
        <is>
          <t>Never share a password or a 2FA code</t>
        </is>
      </c>
      <c r="C9" s="82" t="inlineStr">
        <is>
          <t>Use Partner access by Business ID. Password sharing breaks Meta's terms, destroys the audit trail, and is the most common way clinics permanently lose their ad account.</t>
        </is>
      </c>
    </row>
    <row r="10" ht="58" customHeight="1">
      <c r="A10" s="77" t="n">
        <v>9</v>
      </c>
      <c r="B10" s="78" t="inlineStr">
        <is>
          <t>Currency and time zone are permanent</t>
        </is>
      </c>
      <c r="C10" s="79" t="inlineStr">
        <is>
          <t>Set USD and America/Phoenix when the ad account is created. They can never be changed later - only replaced by a whole new ad account.</t>
        </is>
      </c>
    </row>
    <row r="11" ht="58" customHeight="1">
      <c r="A11" s="80" t="n">
        <v>10</v>
      </c>
      <c r="B11" s="81" t="inlineStr">
        <is>
          <t>Re-ranking AEM events costs 72 hours</t>
        </is>
      </c>
      <c r="C11" s="82" t="inlineStr">
        <is>
          <t>Set the 8-event ranking once, correctly, before launch. Changing it later freezes delivery and reporting for roughly 72 hours.</t>
        </is>
      </c>
    </row>
    <row r="12" ht="58" customHeight="1">
      <c r="A12" s="77" t="n">
        <v>11</v>
      </c>
      <c r="B12" s="78" t="inlineStr">
        <is>
          <t>The spending limit is a hard stop</t>
        </is>
      </c>
      <c r="C12" s="79" t="inlineStr">
        <is>
          <t>When the account spending limit is reached ALL delivery stops until it is raised. It is not a warning. A low cap will silently kill a campaign halfway through.</t>
        </is>
      </c>
    </row>
    <row r="13" ht="58" customHeight="1">
      <c r="A13" s="80" t="n">
        <v>12</v>
      </c>
      <c r="B13" s="81" t="inlineStr">
        <is>
          <t>What could not be fully verified</t>
        </is>
      </c>
      <c r="C13" s="82" t="inlineStr">
        <is>
          <t>Meta's own help pages about health data filtering are JavaScript-rendered and could not be read directly. That mechanism is backed by many third-party sources but not confirmed from Meta's own text - so plan a backup optimization event rather than assuming the booking event survives.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A1" sqref="A1"/>
    </sheetView>
  </sheetViews>
  <sheetFormatPr baseColWidth="8" defaultRowHeight="15"/>
  <cols>
    <col width="36" customWidth="1" min="1" max="1"/>
    <col width="22" customWidth="1" min="2" max="2"/>
    <col width="100" customWidth="1" min="3" max="3"/>
  </cols>
  <sheetData>
    <row r="1" ht="28" customHeight="1">
      <c r="A1" s="71" t="inlineStr">
        <is>
          <t>What</t>
        </is>
      </c>
      <c r="B1" s="71" t="inlineStr">
        <is>
          <t>Number</t>
        </is>
      </c>
      <c r="C1" s="71" t="inlineStr">
        <is>
          <t>Where the number comes from</t>
        </is>
      </c>
    </row>
    <row r="2" ht="46" customHeight="1">
      <c r="A2" s="78" t="inlineStr">
        <is>
          <t>Bookable slots per day today</t>
        </is>
      </c>
      <c r="B2" s="83" t="inlineStr">
        <is>
          <t>12</t>
        </is>
      </c>
      <c r="C2" s="79" t="inlineStr">
        <is>
          <t>12 slot times x capacity 1. Weekly total is 56 once the 4 impossible Friday afternoon slots are removed.</t>
        </is>
      </c>
    </row>
    <row r="3" ht="46" customHeight="1">
      <c r="A3" s="81" t="inlineStr">
        <is>
          <t>Absolute ceiling, all 3 providers</t>
        </is>
      </c>
      <c r="B3" s="84" t="inlineStr">
        <is>
          <t>~42 / day</t>
        </is>
      </c>
      <c r="C3" s="82" t="inlineStr">
        <is>
          <t>30-minute new gynecology visits across ~7 productive clinical hours, at ONE site, 100% new patients, zero follow-ups.</t>
        </is>
      </c>
    </row>
    <row r="4" ht="46" customHeight="1">
      <c r="A4" s="78" t="inlineStr">
        <is>
          <t>Realistic ceiling with follow-ups</t>
        </is>
      </c>
      <c r="B4" s="83" t="inlineStr">
        <is>
          <t>24-30 / day</t>
        </is>
      </c>
      <c r="C4" s="79" t="inlineStr">
        <is>
          <t>Once follow-ups, ultrasounds and IUD procedures take their share of the schedule.</t>
        </is>
      </c>
    </row>
    <row r="5" ht="46" customHeight="1">
      <c r="A5" s="81" t="inlineStr">
        <is>
          <t>Month 1 expectation</t>
        </is>
      </c>
      <c r="B5" s="84" t="inlineStr">
        <is>
          <t>2-4 booked / day</t>
        </is>
      </c>
      <c r="C5" s="82" t="inlineStr">
        <is>
          <t>Learning phase, no conversion history, creative still being tested. 1-3 actually turn up.</t>
        </is>
      </c>
    </row>
    <row r="6" ht="46" customHeight="1">
      <c r="A6" s="78" t="inlineStr">
        <is>
          <t>Month 2 expectation</t>
        </is>
      </c>
      <c r="B6" s="83" t="inlineStr">
        <is>
          <t>4-7 booked / day</t>
        </is>
      </c>
      <c r="C6" s="79" t="inlineStr">
        <is>
          <t>Signal building, winning creative emerging. 3-5 actually turn up.</t>
        </is>
      </c>
    </row>
    <row r="7" ht="46" customHeight="1">
      <c r="A7" s="81" t="inlineStr">
        <is>
          <t>Day 90 target</t>
        </is>
      </c>
      <c r="B7" s="84" t="inlineStr">
        <is>
          <t>6-10 booked / day</t>
        </is>
      </c>
      <c r="C7" s="82" t="inlineStr">
        <is>
          <t>4-7 actually turn up. Equals 1,500-2,500 new patients a year - the healthy intake for three providers.</t>
        </is>
      </c>
    </row>
    <row r="8" ht="46" customHeight="1">
      <c r="A8" s="78" t="inlineStr">
        <is>
          <t>Budget to support that</t>
        </is>
      </c>
      <c r="B8" s="83" t="inlineStr">
        <is>
          <t>$150-$400 / day</t>
        </is>
      </c>
      <c r="C8" s="79" t="inlineStr">
        <is>
          <t>$4,500-$12,000 a month. About $25-$60 per booking and $40-$90 per patient who shows up.</t>
        </is>
      </c>
    </row>
    <row r="9" ht="46" customHeight="1">
      <c r="A9" s="81" t="inlineStr">
        <is>
          <t>Expected no-show rate</t>
        </is>
      </c>
      <c r="B9" s="84" t="inlineStr">
        <is>
          <t>~35%</t>
        </is>
      </c>
      <c r="C9" s="82" t="inlineStr">
        <is>
          <t>Ad-sourced first-time patients with no prior relationship sit at the high end of the documented gynecology range.</t>
        </is>
      </c>
    </row>
    <row r="10" ht="46" customHeight="1">
      <c r="A10" s="78" t="inlineStr">
        <is>
          <t>Conversion through the account wall</t>
        </is>
      </c>
      <c r="B10" s="83" t="inlineStr">
        <is>
          <t>~19%</t>
        </is>
      </c>
      <c r="C10" s="79" t="inlineStr">
        <is>
          <t>35% finish registration x 55% finish the booking form. Fixing it could reach ~45% - a 2.4x lift for the same ad spend.</t>
        </is>
      </c>
    </row>
    <row r="11" ht="46" customHeight="1">
      <c r="A11" s="81" t="inlineStr">
        <is>
          <t>If you insisted on 60 booked / day</t>
        </is>
      </c>
      <c r="B11" s="84" t="inlineStr">
        <is>
          <t>$147k-$267k / month</t>
        </is>
      </c>
      <c r="C11" s="82" t="inlineStr">
        <is>
          <t>Needs ~303,800 impressions a day. Costs $171-$312 per patient who shows, against a $100 visit. Not achievable and not profitable.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2026-08-18T06:37:07Z</dcterms:created>
  <dcterms:modified xmlns:dcterms="http://purl.org/dc/terms/" xmlns:xsi="http://www.w3.org/2001/XMLSchema-instance" xsi:type="dcterms:W3CDTF">2026-08-18T06:37:07Z</dcterms:modified>
</cp:coreProperties>
</file>